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icho\Downloads\"/>
    </mc:Choice>
  </mc:AlternateContent>
  <xr:revisionPtr revIDLastSave="0" documentId="13_ncr:1_{0178283C-E649-42B1-B370-24E273021BEC}" xr6:coauthVersionLast="47" xr6:coauthVersionMax="47" xr10:uidLastSave="{00000000-0000-0000-0000-000000000000}"/>
  <bookViews>
    <workbookView xWindow="-98" yWindow="-98" windowWidth="21795" windowHeight="12975" xr2:uid="{BBDFDA9F-B308-46BA-990B-95E2222DDB26}"/>
  </bookViews>
  <sheets>
    <sheet name="Dashboard" sheetId="2" r:id="rId1"/>
    <sheet name="Cost Benefit Analysis " sheetId="1" r:id="rId2"/>
    <sheet name="Dat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" i="4" l="1"/>
  <c r="D7" i="4" s="1"/>
  <c r="C6" i="4"/>
  <c r="D6" i="4" s="1"/>
  <c r="C5" i="4"/>
  <c r="C4" i="4"/>
  <c r="C3" i="4"/>
  <c r="C2" i="4"/>
  <c r="D2" i="4" s="1"/>
  <c r="D5" i="4"/>
  <c r="B2" i="4"/>
  <c r="B11" i="4" s="1"/>
  <c r="B3" i="4"/>
  <c r="B4" i="4"/>
  <c r="D4" i="4" s="1"/>
  <c r="B5" i="4"/>
  <c r="B6" i="4"/>
  <c r="B7" i="4"/>
  <c r="C83" i="1"/>
  <c r="E101" i="1"/>
  <c r="E100" i="1"/>
  <c r="E99" i="1"/>
  <c r="E98" i="1"/>
  <c r="E97" i="1"/>
  <c r="E96" i="1"/>
  <c r="E95" i="1"/>
  <c r="I63" i="1"/>
  <c r="E79" i="1" s="1"/>
  <c r="J54" i="1"/>
  <c r="K54" i="1"/>
  <c r="L54" i="1"/>
  <c r="M54" i="1"/>
  <c r="N54" i="1"/>
  <c r="I12" i="1"/>
  <c r="I54" i="1" s="1"/>
  <c r="B89" i="1"/>
  <c r="B88" i="1"/>
  <c r="N52" i="1"/>
  <c r="M52" i="1"/>
  <c r="L52" i="1"/>
  <c r="K52" i="1"/>
  <c r="J52" i="1"/>
  <c r="I52" i="1"/>
  <c r="O51" i="1"/>
  <c r="O50" i="1"/>
  <c r="O49" i="1"/>
  <c r="O48" i="1"/>
  <c r="O47" i="1"/>
  <c r="N44" i="1"/>
  <c r="M44" i="1"/>
  <c r="L44" i="1"/>
  <c r="K44" i="1"/>
  <c r="J44" i="1"/>
  <c r="I44" i="1"/>
  <c r="O43" i="1"/>
  <c r="O42" i="1"/>
  <c r="O41" i="1"/>
  <c r="O40" i="1"/>
  <c r="O39" i="1"/>
  <c r="N12" i="1"/>
  <c r="M12" i="1"/>
  <c r="L12" i="1"/>
  <c r="K12" i="1"/>
  <c r="J12" i="1"/>
  <c r="O11" i="1"/>
  <c r="O10" i="1"/>
  <c r="O9" i="1"/>
  <c r="O8" i="1"/>
  <c r="O7" i="1"/>
  <c r="J20" i="1"/>
  <c r="D3" i="4" l="1"/>
  <c r="B12" i="4" s="1"/>
  <c r="O52" i="1"/>
  <c r="O44" i="1"/>
  <c r="O12" i="1"/>
  <c r="O54" i="1" s="1"/>
  <c r="J28" i="1"/>
  <c r="J36" i="1"/>
  <c r="N63" i="1"/>
  <c r="M63" i="1"/>
  <c r="L63" i="1"/>
  <c r="K63" i="1"/>
  <c r="O62" i="1"/>
  <c r="O61" i="1"/>
  <c r="O60" i="1"/>
  <c r="O59" i="1"/>
  <c r="O58" i="1"/>
  <c r="N36" i="1"/>
  <c r="M36" i="1"/>
  <c r="L36" i="1"/>
  <c r="K36" i="1"/>
  <c r="I36" i="1"/>
  <c r="O35" i="1"/>
  <c r="O34" i="1"/>
  <c r="O33" i="1"/>
  <c r="O32" i="1"/>
  <c r="O31" i="1"/>
  <c r="N28" i="1"/>
  <c r="M28" i="1"/>
  <c r="L28" i="1"/>
  <c r="K28" i="1"/>
  <c r="I28" i="1"/>
  <c r="O27" i="1"/>
  <c r="O26" i="1"/>
  <c r="O25" i="1"/>
  <c r="O24" i="1"/>
  <c r="O23" i="1"/>
  <c r="I20" i="1"/>
  <c r="K20" i="1"/>
  <c r="L20" i="1"/>
  <c r="M20" i="1"/>
  <c r="N20" i="1"/>
  <c r="O16" i="1"/>
  <c r="O17" i="1"/>
  <c r="O18" i="1"/>
  <c r="O19" i="1"/>
  <c r="O15" i="1"/>
  <c r="C101" i="1" l="1"/>
  <c r="D101" i="1" s="1"/>
  <c r="O63" i="1"/>
  <c r="C100" i="1"/>
  <c r="D100" i="1" s="1"/>
  <c r="C98" i="1"/>
  <c r="D98" i="1" s="1"/>
  <c r="C99" i="1"/>
  <c r="D99" i="1" s="1"/>
  <c r="J63" i="1"/>
  <c r="O20" i="1"/>
  <c r="O36" i="1"/>
  <c r="O28" i="1"/>
  <c r="G79" i="1" l="1"/>
  <c r="C97" i="1"/>
  <c r="D97" i="1" s="1"/>
  <c r="C96" i="1"/>
  <c r="D96" i="1" s="1"/>
  <c r="C82" i="1" s="1"/>
  <c r="C81" i="1" l="1"/>
  <c r="F83" i="1"/>
  <c r="C80" i="1" s="1"/>
  <c r="C79" i="1" l="1"/>
</calcChain>
</file>

<file path=xl/sharedStrings.xml><?xml version="1.0" encoding="utf-8"?>
<sst xmlns="http://schemas.openxmlformats.org/spreadsheetml/2006/main" count="302" uniqueCount="100">
  <si>
    <t>Project</t>
  </si>
  <si>
    <t>First Year</t>
  </si>
  <si>
    <t>Second Year</t>
  </si>
  <si>
    <t>Third Year</t>
  </si>
  <si>
    <t xml:space="preserve">Fourth Year </t>
  </si>
  <si>
    <t>Fifth Year</t>
  </si>
  <si>
    <t>Sixth Year</t>
  </si>
  <si>
    <t>Total</t>
  </si>
  <si>
    <t>$</t>
  </si>
  <si>
    <t xml:space="preserve">  Indirect Costs</t>
  </si>
  <si>
    <t>Opportunity Costs</t>
  </si>
  <si>
    <t xml:space="preserve">Rent </t>
  </si>
  <si>
    <t>Utilities</t>
  </si>
  <si>
    <t>Overall Costs</t>
  </si>
  <si>
    <t>Neglecting one project for another</t>
  </si>
  <si>
    <t>Increased revenue</t>
  </si>
  <si>
    <t>New sales</t>
  </si>
  <si>
    <t>Project Manager</t>
  </si>
  <si>
    <t>Direct Costs</t>
  </si>
  <si>
    <t>One-time Costs</t>
  </si>
  <si>
    <t>Contingency Costs</t>
  </si>
  <si>
    <t>Compliance Costs</t>
  </si>
  <si>
    <t>Financial Benefits</t>
  </si>
  <si>
    <t>Tangible or Quantitative Benefits</t>
  </si>
  <si>
    <t>Intangible or Qualitative Benefits</t>
  </si>
  <si>
    <t>Cost Savings</t>
  </si>
  <si>
    <t>Tax Incentives</t>
  </si>
  <si>
    <t>Benefit Description</t>
  </si>
  <si>
    <t>Time Frame</t>
  </si>
  <si>
    <t>Impact Area</t>
  </si>
  <si>
    <t>Measurement Approach</t>
  </si>
  <si>
    <t>KPIs</t>
  </si>
  <si>
    <t>Ongoing</t>
  </si>
  <si>
    <t>Workforce</t>
  </si>
  <si>
    <t>Sustainability</t>
  </si>
  <si>
    <t>Improved employee morale</t>
  </si>
  <si>
    <t>Enhanced customer satisfaction</t>
  </si>
  <si>
    <t>Strengthened brand reputation</t>
  </si>
  <si>
    <t>Better regulatory compliance</t>
  </si>
  <si>
    <t>Reduced environmental footprint</t>
  </si>
  <si>
    <t>Increased cross departmental collaboration</t>
  </si>
  <si>
    <t>Competitive market position</t>
  </si>
  <si>
    <t>Medium term</t>
  </si>
  <si>
    <t>Long term</t>
  </si>
  <si>
    <t>Immediate</t>
  </si>
  <si>
    <t>Short term</t>
  </si>
  <si>
    <t>Customer retention</t>
  </si>
  <si>
    <t>External market</t>
  </si>
  <si>
    <t>Risk management</t>
  </si>
  <si>
    <t>Internal operations</t>
  </si>
  <si>
    <t>Market strategy</t>
  </si>
  <si>
    <t>Employee retention rate</t>
  </si>
  <si>
    <t>Net promoter score</t>
  </si>
  <si>
    <t>Positive sentiment ratio</t>
  </si>
  <si>
    <t>Compliance audit pass</t>
  </si>
  <si>
    <t>CO2 emission reduction %</t>
  </si>
  <si>
    <t>Number of projects completed</t>
  </si>
  <si>
    <t>Market share %</t>
  </si>
  <si>
    <t>Employee engagement surveys</t>
  </si>
  <si>
    <t>Customer feedback</t>
  </si>
  <si>
    <t>Sentiment analysis</t>
  </si>
  <si>
    <t>Annual compliance audit</t>
  </si>
  <si>
    <t>Environmental impact assessment</t>
  </si>
  <si>
    <t>Internal surveys and data</t>
  </si>
  <si>
    <t>Industry analysis reports</t>
  </si>
  <si>
    <t>Costs</t>
  </si>
  <si>
    <t>Labor</t>
  </si>
  <si>
    <t>Materials</t>
  </si>
  <si>
    <t>Equipment</t>
  </si>
  <si>
    <t>Annual Subscriptions</t>
  </si>
  <si>
    <t>Cost Benefit Analyst</t>
  </si>
  <si>
    <t>Nicholas Chavez</t>
  </si>
  <si>
    <t>Net Present values</t>
  </si>
  <si>
    <t>Internal Rate of Return</t>
  </si>
  <si>
    <t>Benefit Cost Ratio</t>
  </si>
  <si>
    <t>KPI</t>
  </si>
  <si>
    <t>Key Performance Indicators</t>
  </si>
  <si>
    <t>Risk Free Investment based on US treasury</t>
  </si>
  <si>
    <t>year hold</t>
  </si>
  <si>
    <t>start date</t>
  </si>
  <si>
    <t>https://home.treasury.gov/resource-center/data-chart-center/interest-rates/TextView?type=daily_treasury_yield_curve&amp;field_tdr_date_value=2026</t>
  </si>
  <si>
    <t>LINK to Rate</t>
  </si>
  <si>
    <t>Present Value of Benefits</t>
  </si>
  <si>
    <t>Present Values of Costs</t>
  </si>
  <si>
    <t>Net Present Value</t>
  </si>
  <si>
    <t>Year</t>
  </si>
  <si>
    <t>Cash Flow</t>
  </si>
  <si>
    <t>PV of CF</t>
  </si>
  <si>
    <t>ROI</t>
  </si>
  <si>
    <t>Initial Project Investment</t>
  </si>
  <si>
    <t>Pay Back Period</t>
  </si>
  <si>
    <t>Cumulative Cash Flow</t>
  </si>
  <si>
    <t>To do:</t>
  </si>
  <si>
    <t>Graph of break even point, displaying revenue line and cost line</t>
  </si>
  <si>
    <t xml:space="preserve">cards for each KPI </t>
  </si>
  <si>
    <t>Cost</t>
  </si>
  <si>
    <t>Profit</t>
  </si>
  <si>
    <t>Revenue</t>
  </si>
  <si>
    <t>Part</t>
  </si>
  <si>
    <t>Profits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</si>
</sst>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Montserrat Regular"/>
    </font>
    <font>
      <sz val="10"/>
      <color theme="0"/>
      <name val="Montserrat Regular"/>
    </font>
    <font>
      <sz val="10"/>
      <color theme="1"/>
      <name val="Montserrat Regular"/>
    </font>
    <font>
      <b/>
      <sz val="10"/>
      <color theme="1"/>
      <name val="Calibri"/>
      <family val="2"/>
      <scheme val="minor"/>
    </font>
    <font>
      <b/>
      <sz val="12"/>
      <color theme="0"/>
      <name val="Montserrat Regular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B4560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0">
    <xf numFmtId="0" fontId="0" fillId="0" borderId="0" xfId="0"/>
    <xf numFmtId="0" fontId="3" fillId="2" borderId="0" xfId="0" applyFont="1" applyFill="1"/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44" fontId="6" fillId="4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44" fontId="5" fillId="2" borderId="0" xfId="1" applyFont="1" applyFill="1" applyBorder="1" applyAlignment="1">
      <alignment horizontal="center" vertical="center"/>
    </xf>
    <xf numFmtId="164" fontId="5" fillId="2" borderId="0" xfId="1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6" fontId="6" fillId="2" borderId="0" xfId="0" applyNumberFormat="1" applyFont="1" applyFill="1" applyAlignment="1">
      <alignment horizontal="center" vertical="center"/>
    </xf>
    <xf numFmtId="6" fontId="6" fillId="2" borderId="5" xfId="0" applyNumberFormat="1" applyFont="1" applyFill="1" applyBorder="1" applyAlignment="1">
      <alignment horizontal="center" vertical="center"/>
    </xf>
    <xf numFmtId="44" fontId="5" fillId="5" borderId="7" xfId="1" applyFont="1" applyFill="1" applyBorder="1" applyAlignment="1">
      <alignment horizontal="center" vertical="center"/>
    </xf>
    <xf numFmtId="44" fontId="5" fillId="5" borderId="8" xfId="1" applyFont="1" applyFill="1" applyBorder="1" applyAlignment="1">
      <alignment horizontal="center" vertical="center"/>
    </xf>
    <xf numFmtId="164" fontId="5" fillId="5" borderId="7" xfId="1" applyNumberFormat="1" applyFont="1" applyFill="1" applyBorder="1" applyAlignment="1">
      <alignment horizontal="center" vertical="center"/>
    </xf>
    <xf numFmtId="6" fontId="5" fillId="5" borderId="8" xfId="1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2" fillId="2" borderId="0" xfId="2" applyFill="1"/>
    <xf numFmtId="0" fontId="3" fillId="2" borderId="4" xfId="0" applyFont="1" applyFill="1" applyBorder="1"/>
    <xf numFmtId="0" fontId="7" fillId="2" borderId="0" xfId="0" applyFont="1" applyFill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44" fontId="3" fillId="2" borderId="0" xfId="0" applyNumberFormat="1" applyFont="1" applyFill="1"/>
    <xf numFmtId="8" fontId="3" fillId="2" borderId="0" xfId="0" applyNumberFormat="1" applyFont="1" applyFill="1"/>
    <xf numFmtId="9" fontId="3" fillId="2" borderId="0" xfId="0" applyNumberFormat="1" applyFont="1" applyFill="1"/>
    <xf numFmtId="44" fontId="3" fillId="2" borderId="12" xfId="0" applyNumberFormat="1" applyFont="1" applyFill="1" applyBorder="1"/>
    <xf numFmtId="44" fontId="3" fillId="2" borderId="5" xfId="0" applyNumberFormat="1" applyFont="1" applyFill="1" applyBorder="1"/>
    <xf numFmtId="0" fontId="4" fillId="4" borderId="12" xfId="0" applyFont="1" applyFill="1" applyBorder="1" applyAlignment="1">
      <alignment horizontal="center" vertical="center"/>
    </xf>
    <xf numFmtId="14" fontId="3" fillId="2" borderId="5" xfId="0" applyNumberFormat="1" applyFont="1" applyFill="1" applyBorder="1"/>
    <xf numFmtId="0" fontId="2" fillId="2" borderId="0" xfId="2" applyFill="1" applyAlignment="1">
      <alignment wrapText="1"/>
    </xf>
    <xf numFmtId="0" fontId="8" fillId="3" borderId="15" xfId="0" applyFont="1" applyFill="1" applyBorder="1" applyAlignment="1">
      <alignment horizontal="center" vertical="center"/>
    </xf>
    <xf numFmtId="8" fontId="3" fillId="2" borderId="5" xfId="0" applyNumberFormat="1" applyFont="1" applyFill="1" applyBorder="1"/>
    <xf numFmtId="44" fontId="3" fillId="2" borderId="7" xfId="0" applyNumberFormat="1" applyFont="1" applyFill="1" applyBorder="1"/>
    <xf numFmtId="8" fontId="3" fillId="2" borderId="8" xfId="0" applyNumberFormat="1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44" fontId="0" fillId="0" borderId="12" xfId="0" applyNumberFormat="1" applyBorder="1"/>
    <xf numFmtId="0" fontId="0" fillId="0" borderId="12" xfId="0" applyBorder="1"/>
    <xf numFmtId="6" fontId="5" fillId="5" borderId="7" xfId="1" applyNumberFormat="1" applyFont="1" applyFill="1" applyBorder="1" applyAlignment="1">
      <alignment horizontal="center" vertical="center"/>
    </xf>
    <xf numFmtId="9" fontId="0" fillId="0" borderId="12" xfId="0" applyNumberFormat="1" applyBorder="1"/>
    <xf numFmtId="8" fontId="3" fillId="2" borderId="7" xfId="0" applyNumberFormat="1" applyFont="1" applyFill="1" applyBorder="1"/>
    <xf numFmtId="0" fontId="9" fillId="0" borderId="12" xfId="0" applyFont="1" applyBorder="1"/>
    <xf numFmtId="0" fontId="3" fillId="2" borderId="13" xfId="0" applyFont="1" applyFill="1" applyBorder="1"/>
    <xf numFmtId="0" fontId="3" fillId="2" borderId="14" xfId="0" applyFont="1" applyFill="1" applyBorder="1"/>
    <xf numFmtId="44" fontId="0" fillId="0" borderId="0" xfId="0" applyNumberFormat="1"/>
    <xf numFmtId="6" fontId="0" fillId="0" borderId="0" xfId="0" applyNumberFormat="1"/>
    <xf numFmtId="0" fontId="0" fillId="6" borderId="0" xfId="0" applyFill="1"/>
    <xf numFmtId="0" fontId="6" fillId="2" borderId="0" xfId="0" applyFont="1" applyFill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1B45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Break</a:t>
            </a:r>
            <a:r>
              <a:rPr lang="en-US" b="1" baseline="0">
                <a:solidFill>
                  <a:schemeClr val="bg1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-Even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Cost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Data!$A$2:$A$7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Data!$B$2:$B$7</c:f>
              <c:numCache>
                <c:formatCode>_("$"* #,##0.00_);_("$"* \(#,##0.00\);_("$"* "-"??_);_(@_)</c:formatCode>
                <c:ptCount val="6"/>
                <c:pt idx="0">
                  <c:v>41900</c:v>
                </c:pt>
                <c:pt idx="1">
                  <c:v>7040</c:v>
                </c:pt>
                <c:pt idx="2">
                  <c:v>8480</c:v>
                </c:pt>
                <c:pt idx="3">
                  <c:v>9920</c:v>
                </c:pt>
                <c:pt idx="4">
                  <c:v>8860</c:v>
                </c:pt>
                <c:pt idx="5">
                  <c:v>8400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00-4A4F-A669-5AC84EE387E0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Data!$A$2:$A$7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Data!$C$2:$C$7</c:f>
              <c:numCache>
                <c:formatCode>_("$"* #,##0.00_);_("$"* \(#,##0.00\);_("$"* "-"??_);_(@_)</c:formatCode>
                <c:ptCount val="6"/>
                <c:pt idx="0" formatCode="&quot;$&quot;#,##0_);[Red]\(&quot;$&quot;#,##0\)">
                  <c:v>15000</c:v>
                </c:pt>
                <c:pt idx="1">
                  <c:v>23040</c:v>
                </c:pt>
                <c:pt idx="2">
                  <c:v>22000</c:v>
                </c:pt>
                <c:pt idx="3">
                  <c:v>23000</c:v>
                </c:pt>
                <c:pt idx="4">
                  <c:v>29000</c:v>
                </c:pt>
                <c:pt idx="5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00-4A4F-A669-5AC84EE387E0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Data!$D$2:$D$7</c:f>
              <c:numCache>
                <c:formatCode>_("$"* #,##0.00_);_("$"* \(#,##0.00\);_("$"* "-"??_);_(@_)</c:formatCode>
                <c:ptCount val="6"/>
                <c:pt idx="0">
                  <c:v>-26900</c:v>
                </c:pt>
                <c:pt idx="1">
                  <c:v>16000</c:v>
                </c:pt>
                <c:pt idx="2">
                  <c:v>13520</c:v>
                </c:pt>
                <c:pt idx="3">
                  <c:v>13080</c:v>
                </c:pt>
                <c:pt idx="4">
                  <c:v>20140</c:v>
                </c:pt>
                <c:pt idx="5">
                  <c:v>21600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00-4A4F-A669-5AC84EE38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1430159"/>
        <c:axId val="881428239"/>
      </c:lineChart>
      <c:catAx>
        <c:axId val="88143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428239"/>
        <c:crosses val="autoZero"/>
        <c:auto val="1"/>
        <c:lblAlgn val="ctr"/>
        <c:lblOffset val="100"/>
        <c:noMultiLvlLbl val="0"/>
      </c:catAx>
      <c:valAx>
        <c:axId val="881428239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43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50000"/>
        <a:lumOff val="50000"/>
      </a:schemeClr>
    </a:solidFill>
    <a:ln w="254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Profitablitity</a:t>
            </a:r>
            <a:r>
              <a:rPr lang="en-US" b="1" baseline="0">
                <a:solidFill>
                  <a:schemeClr val="bg1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 Pie Chart</a:t>
            </a:r>
            <a:endParaRPr lang="en-US" b="1">
              <a:solidFill>
                <a:schemeClr val="bg1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endParaRPr>
          </a:p>
        </c:rich>
      </c:tx>
      <c:layout>
        <c:manualLayout>
          <c:xMode val="edge"/>
          <c:yMode val="edge"/>
          <c:x val="0.1990490611750454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34406756847702"/>
          <c:y val="0.12804456529505703"/>
          <c:w val="0.57585402786190187"/>
          <c:h val="0.75017326126132444"/>
        </c:manualLayout>
      </c:layout>
      <c:pieChart>
        <c:varyColors val="1"/>
        <c:ser>
          <c:idx val="0"/>
          <c:order val="0"/>
          <c:tx>
            <c:strRef>
              <c:f>Data!$B$10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D2-431E-B2C8-A7B44DE5903A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D2-431E-B2C8-A7B44DE590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Data!$A$11:$A$12</c:f>
              <c:strCache>
                <c:ptCount val="2"/>
                <c:pt idx="0">
                  <c:v>Cost</c:v>
                </c:pt>
                <c:pt idx="1">
                  <c:v>Profits</c:v>
                </c:pt>
              </c:strCache>
            </c:strRef>
          </c:cat>
          <c:val>
            <c:numRef>
              <c:f>Data!$B$11:$B$12</c:f>
              <c:numCache>
                <c:formatCode>_("$"* #,##0.00_);_("$"* \(#,##0.00\);_("$"* "-"??_);_(@_)</c:formatCode>
                <c:ptCount val="2"/>
                <c:pt idx="0">
                  <c:v>84600</c:v>
                </c:pt>
                <c:pt idx="1">
                  <c:v>57440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D2-431E-B2C8-A7B44DE59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50000"/>
        <a:lumOff val="50000"/>
      </a:schemeClr>
    </a:solidFill>
    <a:ln w="254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Break</a:t>
            </a:r>
            <a:r>
              <a:rPr lang="en-US" baseline="0"/>
              <a:t>-Even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Cost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Data!$B$2:$B$7</c:f>
              <c:numCache>
                <c:formatCode>_("$"* #,##0.00_);_("$"* \(#,##0.00\);_("$"* "-"??_);_(@_)</c:formatCode>
                <c:ptCount val="6"/>
                <c:pt idx="0">
                  <c:v>41900</c:v>
                </c:pt>
                <c:pt idx="1">
                  <c:v>7040</c:v>
                </c:pt>
                <c:pt idx="2">
                  <c:v>8480</c:v>
                </c:pt>
                <c:pt idx="3">
                  <c:v>9920</c:v>
                </c:pt>
                <c:pt idx="4">
                  <c:v>8860</c:v>
                </c:pt>
                <c:pt idx="5">
                  <c:v>8400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8A-4B23-BD95-ABB7D749B18C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Data!$C$2:$C$7</c:f>
              <c:numCache>
                <c:formatCode>_("$"* #,##0.00_);_("$"* \(#,##0.00\);_("$"* "-"??_);_(@_)</c:formatCode>
                <c:ptCount val="6"/>
                <c:pt idx="0" formatCode="&quot;$&quot;#,##0_);[Red]\(&quot;$&quot;#,##0\)">
                  <c:v>15000</c:v>
                </c:pt>
                <c:pt idx="1">
                  <c:v>23040</c:v>
                </c:pt>
                <c:pt idx="2">
                  <c:v>22000</c:v>
                </c:pt>
                <c:pt idx="3">
                  <c:v>23000</c:v>
                </c:pt>
                <c:pt idx="4">
                  <c:v>29000</c:v>
                </c:pt>
                <c:pt idx="5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8A-4B23-BD95-ABB7D749B18C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Data!$D$2:$D$7</c:f>
              <c:numCache>
                <c:formatCode>_("$"* #,##0.00_);_("$"* \(#,##0.00\);_("$"* "-"??_);_(@_)</c:formatCode>
                <c:ptCount val="6"/>
                <c:pt idx="0">
                  <c:v>-26900</c:v>
                </c:pt>
                <c:pt idx="1">
                  <c:v>16000</c:v>
                </c:pt>
                <c:pt idx="2">
                  <c:v>13520</c:v>
                </c:pt>
                <c:pt idx="3">
                  <c:v>13080</c:v>
                </c:pt>
                <c:pt idx="4">
                  <c:v>20140</c:v>
                </c:pt>
                <c:pt idx="5">
                  <c:v>21600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8A-4B23-BD95-ABB7D749B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1430159"/>
        <c:axId val="881428239"/>
      </c:lineChart>
      <c:catAx>
        <c:axId val="88143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428239"/>
        <c:crosses val="autoZero"/>
        <c:auto val="1"/>
        <c:lblAlgn val="ctr"/>
        <c:lblOffset val="100"/>
        <c:noMultiLvlLbl val="0"/>
      </c:catAx>
      <c:valAx>
        <c:axId val="88142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43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83-4A35-AB58-45F0D947AE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83-4A35-AB58-45F0D947AECA}"/>
              </c:ext>
            </c:extLst>
          </c:dPt>
          <c:cat>
            <c:strRef>
              <c:f>Data!$A$11:$A$12</c:f>
              <c:strCache>
                <c:ptCount val="2"/>
                <c:pt idx="0">
                  <c:v>Cost</c:v>
                </c:pt>
                <c:pt idx="1">
                  <c:v>Profits</c:v>
                </c:pt>
              </c:strCache>
            </c:strRef>
          </c:cat>
          <c:val>
            <c:numRef>
              <c:f>Data!$B$11:$B$12</c:f>
              <c:numCache>
                <c:formatCode>_("$"* #,##0.00_);_("$"* \(#,##0.00\);_("$"* "-"??_);_(@_)</c:formatCode>
                <c:ptCount val="2"/>
                <c:pt idx="0">
                  <c:v>84600</c:v>
                </c:pt>
                <c:pt idx="1">
                  <c:v>57440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1-4E6A-81BB-FA4A01514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285748</xdr:colOff>
      <xdr:row>6</xdr:row>
      <xdr:rowOff>102391</xdr:rowOff>
    </xdr:from>
    <xdr:to>
      <xdr:col>6</xdr:col>
      <xdr:colOff>276224</xdr:colOff>
      <xdr:row>18</xdr:row>
      <xdr:rowOff>21429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46ED4F-ABC7-4B06-A89E-8E1D85C6DF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280987</xdr:colOff>
      <xdr:row>1</xdr:row>
      <xdr:rowOff>171451</xdr:rowOff>
    </xdr:from>
    <xdr:to>
      <xdr:col>14</xdr:col>
      <xdr:colOff>414337</xdr:colOff>
      <xdr:row>5</xdr:row>
      <xdr:rowOff>95251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E606AD-4108-1553-52F7-2E9BCE5330AB}"/>
            </a:ext>
          </a:extLst>
        </xdr:cNvPr>
        <xdr:cNvSpPr txBox="1"/>
      </xdr:nvSpPr>
      <xdr:spPr>
        <a:xfrm>
          <a:off x="8053387" y="352426"/>
          <a:ext cx="1428750" cy="647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>
              <a:solidFill>
                <a:schemeClr val="bg1"/>
              </a:solidFill>
              <a:effectLst/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Less than 2 Years</a:t>
          </a:r>
          <a:endParaRPr lang="en-US" sz="1100" b="1">
            <a:solidFill>
              <a:schemeClr val="bg1"/>
            </a:solidFill>
            <a:latin typeface="Microsoft Sans Serif" panose="020B0604020202020204" pitchFamily="34" charset="0"/>
            <a:ea typeface="Microsoft Sans Serif" panose="020B0604020202020204" pitchFamily="34" charset="0"/>
            <a:cs typeface="Microsoft Sans Serif" panose="020B0604020202020204" pitchFamily="34" charset="0"/>
          </a:endParaRPr>
        </a:p>
        <a:p>
          <a:pPr algn="ctr"/>
          <a:r>
            <a:rPr lang="en-US" sz="1100">
              <a:solidFill>
                <a:schemeClr val="bg1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Pay</a:t>
          </a:r>
          <a:r>
            <a:rPr lang="en-US" sz="1100" baseline="0">
              <a:solidFill>
                <a:schemeClr val="bg1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 Back Period</a:t>
          </a:r>
        </a:p>
      </xdr:txBody>
    </xdr:sp>
    <xdr:clientData/>
  </xdr:twoCellAnchor>
  <xdr:twoCellAnchor>
    <xdr:from>
      <xdr:col>12</xdr:col>
      <xdr:colOff>297656</xdr:colOff>
      <xdr:row>6</xdr:row>
      <xdr:rowOff>61913</xdr:rowOff>
    </xdr:from>
    <xdr:to>
      <xdr:col>14</xdr:col>
      <xdr:colOff>397668</xdr:colOff>
      <xdr:row>9</xdr:row>
      <xdr:rowOff>100013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DF688B4-0848-44F8-DAE8-BE2939008F10}"/>
            </a:ext>
          </a:extLst>
        </xdr:cNvPr>
        <xdr:cNvSpPr txBox="1"/>
      </xdr:nvSpPr>
      <xdr:spPr>
        <a:xfrm>
          <a:off x="8070056" y="1147763"/>
          <a:ext cx="1395412" cy="581025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bg1"/>
              </a:solidFill>
              <a:effectLst/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59.88%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bg1"/>
              </a:solidFill>
              <a:effectLst/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Return</a:t>
          </a:r>
          <a:r>
            <a:rPr lang="en-US" sz="1100" b="1" baseline="0">
              <a:solidFill>
                <a:schemeClr val="bg1"/>
              </a:solidFill>
              <a:effectLst/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 on Investment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chemeClr val="bg1"/>
            </a:solidFill>
            <a:latin typeface="Microsoft Sans Serif" panose="020B0604020202020204" pitchFamily="34" charset="0"/>
            <a:ea typeface="Microsoft Sans Serif" panose="020B0604020202020204" pitchFamily="34" charset="0"/>
            <a:cs typeface="Microsoft Sans Serif" panose="020B0604020202020204" pitchFamily="34" charset="0"/>
          </a:endParaRPr>
        </a:p>
      </xdr:txBody>
    </xdr:sp>
    <xdr:clientData/>
  </xdr:twoCellAnchor>
  <xdr:twoCellAnchor>
    <xdr:from>
      <xdr:col>12</xdr:col>
      <xdr:colOff>295274</xdr:colOff>
      <xdr:row>13</xdr:row>
      <xdr:rowOff>166686</xdr:rowOff>
    </xdr:from>
    <xdr:to>
      <xdr:col>14</xdr:col>
      <xdr:colOff>400050</xdr:colOff>
      <xdr:row>17</xdr:row>
      <xdr:rowOff>57149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C385B2B-8CBD-6A37-EE8D-81FF011927C1}"/>
            </a:ext>
          </a:extLst>
        </xdr:cNvPr>
        <xdr:cNvSpPr txBox="1"/>
      </xdr:nvSpPr>
      <xdr:spPr>
        <a:xfrm>
          <a:off x="8067674" y="2519361"/>
          <a:ext cx="1400176" cy="614363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bg1"/>
              </a:solidFill>
              <a:effectLst/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45%</a:t>
          </a:r>
          <a:r>
            <a:rPr lang="en-US" sz="1100" b="1">
              <a:solidFill>
                <a:schemeClr val="bg1"/>
              </a:solidFill>
              <a:effectLst/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 </a:t>
          </a:r>
          <a:endParaRPr lang="en-US" sz="1100" b="1">
            <a:solidFill>
              <a:schemeClr val="bg1"/>
            </a:solidFill>
            <a:latin typeface="Microsoft Sans Serif" panose="020B0604020202020204" pitchFamily="34" charset="0"/>
            <a:ea typeface="Microsoft Sans Serif" panose="020B0604020202020204" pitchFamily="34" charset="0"/>
            <a:cs typeface="Microsoft Sans Serif" panose="020B0604020202020204" pitchFamily="34" charset="0"/>
          </a:endParaRPr>
        </a:p>
        <a:p>
          <a:pPr algn="ctr"/>
          <a:r>
            <a:rPr lang="en-US" sz="1100">
              <a:solidFill>
                <a:schemeClr val="bg1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Internal</a:t>
          </a:r>
          <a:r>
            <a:rPr lang="en-US" sz="1100" baseline="0">
              <a:solidFill>
                <a:schemeClr val="bg1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 Rate of Return</a:t>
          </a:r>
        </a:p>
      </xdr:txBody>
    </xdr:sp>
    <xdr:clientData/>
  </xdr:twoCellAnchor>
  <xdr:twoCellAnchor>
    <xdr:from>
      <xdr:col>12</xdr:col>
      <xdr:colOff>290512</xdr:colOff>
      <xdr:row>10</xdr:row>
      <xdr:rowOff>66675</xdr:rowOff>
    </xdr:from>
    <xdr:to>
      <xdr:col>14</xdr:col>
      <xdr:colOff>404812</xdr:colOff>
      <xdr:row>13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8FB2469-FC13-C301-B9DD-DEDF70B01422}"/>
            </a:ext>
          </a:extLst>
        </xdr:cNvPr>
        <xdr:cNvSpPr txBox="1"/>
      </xdr:nvSpPr>
      <xdr:spPr>
        <a:xfrm>
          <a:off x="8062912" y="1876425"/>
          <a:ext cx="1409700" cy="4953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bg1"/>
              </a:solidFill>
              <a:effectLst/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1.60</a:t>
          </a:r>
          <a:endParaRPr lang="en-US" sz="1100" b="1">
            <a:solidFill>
              <a:schemeClr val="bg1"/>
            </a:solidFill>
            <a:latin typeface="Microsoft Sans Serif" panose="020B0604020202020204" pitchFamily="34" charset="0"/>
            <a:ea typeface="Microsoft Sans Serif" panose="020B0604020202020204" pitchFamily="34" charset="0"/>
            <a:cs typeface="Microsoft Sans Serif" panose="020B0604020202020204" pitchFamily="34" charset="0"/>
          </a:endParaRPr>
        </a:p>
        <a:p>
          <a:pPr algn="ctr"/>
          <a:r>
            <a:rPr lang="en-US" sz="1100">
              <a:solidFill>
                <a:schemeClr val="bg1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Cost</a:t>
          </a:r>
          <a:r>
            <a:rPr lang="en-US" sz="1100" baseline="0">
              <a:solidFill>
                <a:schemeClr val="bg1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 Benefit Ratio</a:t>
          </a:r>
        </a:p>
      </xdr:txBody>
    </xdr:sp>
    <xdr:clientData/>
  </xdr:twoCellAnchor>
  <xdr:twoCellAnchor>
    <xdr:from>
      <xdr:col>6</xdr:col>
      <xdr:colOff>638174</xdr:colOff>
      <xdr:row>6</xdr:row>
      <xdr:rowOff>95248</xdr:rowOff>
    </xdr:from>
    <xdr:to>
      <xdr:col>11</xdr:col>
      <xdr:colOff>623889</xdr:colOff>
      <xdr:row>18</xdr:row>
      <xdr:rowOff>28573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4EB329-13D5-4B06-9716-D6CA210A3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464937</xdr:colOff>
      <xdr:row>18</xdr:row>
      <xdr:rowOff>164307</xdr:rowOff>
    </xdr:from>
    <xdr:to>
      <xdr:col>4</xdr:col>
      <xdr:colOff>79175</xdr:colOff>
      <xdr:row>21</xdr:row>
      <xdr:rowOff>73819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798A84D-3014-6A8D-BB44-BB9998D7096C}"/>
            </a:ext>
          </a:extLst>
        </xdr:cNvPr>
        <xdr:cNvSpPr txBox="1"/>
      </xdr:nvSpPr>
      <xdr:spPr>
        <a:xfrm>
          <a:off x="1112637" y="3421857"/>
          <a:ext cx="1557338" cy="452437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bg1"/>
              </a:solidFill>
            </a:rPr>
            <a:t>PV</a:t>
          </a:r>
          <a:r>
            <a:rPr lang="en-US" sz="1100" b="1" baseline="0">
              <a:solidFill>
                <a:schemeClr val="bg1"/>
              </a:solidFill>
            </a:rPr>
            <a:t> of </a:t>
          </a:r>
          <a:r>
            <a:rPr lang="en-US" sz="1100" b="1">
              <a:solidFill>
                <a:schemeClr val="bg1"/>
              </a:solidFill>
            </a:rPr>
            <a:t>Revenue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$123,060.27 </a:t>
          </a:r>
          <a:endParaRPr lang="en-US" b="1">
            <a:solidFill>
              <a:schemeClr val="bg1"/>
            </a:solidFill>
            <a:effectLst/>
          </a:endParaRPr>
        </a:p>
        <a:p>
          <a:pPr algn="ctr"/>
          <a:endParaRPr lang="en-US" sz="1100">
            <a:solidFill>
              <a:schemeClr val="bg1"/>
            </a:solidFill>
          </a:endParaRPr>
        </a:p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442315</xdr:colOff>
      <xdr:row>21</xdr:row>
      <xdr:rowOff>133351</xdr:rowOff>
    </xdr:from>
    <xdr:to>
      <xdr:col>4</xdr:col>
      <xdr:colOff>101797</xdr:colOff>
      <xdr:row>24</xdr:row>
      <xdr:rowOff>47624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DC4E7AD-BBE3-44D4-9828-3C409E872DD2}"/>
            </a:ext>
          </a:extLst>
        </xdr:cNvPr>
        <xdr:cNvSpPr txBox="1"/>
      </xdr:nvSpPr>
      <xdr:spPr>
        <a:xfrm>
          <a:off x="1090015" y="3933826"/>
          <a:ext cx="1602582" cy="457198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chemeClr val="bg1"/>
              </a:solidFill>
            </a:rPr>
            <a:t>PV</a:t>
          </a:r>
          <a:r>
            <a:rPr lang="en-US" sz="1100" b="1" baseline="0">
              <a:solidFill>
                <a:schemeClr val="bg1"/>
              </a:solidFill>
            </a:rPr>
            <a:t> of Cost</a:t>
          </a:r>
        </a:p>
        <a:p>
          <a:pPr algn="ctr"/>
          <a:r>
            <a:rPr lang="en-US" sz="1100" b="1" baseline="0">
              <a:solidFill>
                <a:schemeClr val="bg1"/>
              </a:solidFill>
            </a:rPr>
            <a:t> $76,969.89 </a:t>
          </a:r>
        </a:p>
        <a:p>
          <a:pPr algn="ctr"/>
          <a:endParaRPr lang="en-US" sz="1100" baseline="0">
            <a:solidFill>
              <a:schemeClr val="bg1"/>
            </a:solidFill>
          </a:endParaRPr>
        </a:p>
        <a:p>
          <a:pPr algn="ctr"/>
          <a:endParaRPr lang="en-US" sz="1100">
            <a:solidFill>
              <a:schemeClr val="bg1"/>
            </a:solidFill>
          </a:endParaRPr>
        </a:p>
        <a:p>
          <a:pPr algn="ctr"/>
          <a:endParaRPr lang="en-US" sz="1100">
            <a:solidFill>
              <a:schemeClr val="bg1"/>
            </a:solidFill>
          </a:endParaRPr>
        </a:p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450649</xdr:colOff>
      <xdr:row>24</xdr:row>
      <xdr:rowOff>107157</xdr:rowOff>
    </xdr:from>
    <xdr:to>
      <xdr:col>4</xdr:col>
      <xdr:colOff>93463</xdr:colOff>
      <xdr:row>27</xdr:row>
      <xdr:rowOff>26193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44AB269-09CD-44C2-A56F-7CC16340EBDC}"/>
            </a:ext>
          </a:extLst>
        </xdr:cNvPr>
        <xdr:cNvSpPr txBox="1"/>
      </xdr:nvSpPr>
      <xdr:spPr>
        <a:xfrm>
          <a:off x="1098349" y="4450557"/>
          <a:ext cx="1585914" cy="46196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bg1"/>
              </a:solidFill>
            </a:rPr>
            <a:t>PV</a:t>
          </a:r>
          <a:r>
            <a:rPr lang="en-US" sz="1100" b="1" baseline="0">
              <a:solidFill>
                <a:schemeClr val="bg1"/>
              </a:solidFill>
            </a:rPr>
            <a:t> of Profits</a:t>
          </a:r>
          <a:endParaRPr lang="en-US" sz="1100" b="1">
            <a:solidFill>
              <a:schemeClr val="bg1"/>
            </a:solidFill>
          </a:endParaRPr>
        </a:p>
        <a:p>
          <a:pPr algn="ctr"/>
          <a:r>
            <a:rPr lang="en-US" sz="11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$46,090.38 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190500</xdr:colOff>
      <xdr:row>1</xdr:row>
      <xdr:rowOff>133350</xdr:rowOff>
    </xdr:from>
    <xdr:to>
      <xdr:col>6</xdr:col>
      <xdr:colOff>319088</xdr:colOff>
      <xdr:row>4</xdr:row>
      <xdr:rowOff>14288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4A7156F-7D6D-C74F-7E93-2D329F68E1A9}"/>
            </a:ext>
          </a:extLst>
        </xdr:cNvPr>
        <xdr:cNvSpPr txBox="1"/>
      </xdr:nvSpPr>
      <xdr:spPr>
        <a:xfrm>
          <a:off x="838200" y="314325"/>
          <a:ext cx="3367088" cy="423863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>
              <a:solidFill>
                <a:schemeClr val="bg1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Project</a:t>
          </a:r>
          <a:r>
            <a:rPr lang="en-US" sz="1800" b="1" i="0" u="none" baseline="0">
              <a:solidFill>
                <a:schemeClr val="bg1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 Analysis Dashboard</a:t>
          </a:r>
        </a:p>
        <a:p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414338</xdr:colOff>
      <xdr:row>20</xdr:row>
      <xdr:rowOff>14288</xdr:rowOff>
    </xdr:from>
    <xdr:to>
      <xdr:col>14</xdr:col>
      <xdr:colOff>466725</xdr:colOff>
      <xdr:row>26</xdr:row>
      <xdr:rowOff>95250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1DEE141-8DFA-FFD2-079C-7E3E4625E9CB}"/>
            </a:ext>
          </a:extLst>
        </xdr:cNvPr>
        <xdr:cNvSpPr txBox="1"/>
      </xdr:nvSpPr>
      <xdr:spPr>
        <a:xfrm>
          <a:off x="3005138" y="3633788"/>
          <a:ext cx="6529387" cy="1166812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chemeClr val="bg1"/>
              </a:solidFill>
              <a:latin typeface="Cascadia Code" panose="020B0609020000020004" pitchFamily="49" charset="0"/>
              <a:ea typeface="Cascadia Code" panose="020B0609020000020004" pitchFamily="49" charset="0"/>
              <a:cs typeface="Cascadia Code" panose="020B0609020000020004" pitchFamily="49" charset="0"/>
            </a:rPr>
            <a:t>This Dashboard Displays</a:t>
          </a:r>
          <a:r>
            <a:rPr lang="en-US" sz="1100" baseline="0">
              <a:solidFill>
                <a:schemeClr val="bg1"/>
              </a:solidFill>
              <a:latin typeface="Cascadia Code" panose="020B0609020000020004" pitchFamily="49" charset="0"/>
              <a:ea typeface="Cascadia Code" panose="020B0609020000020004" pitchFamily="49" charset="0"/>
              <a:cs typeface="Cascadia Code" panose="020B0609020000020004" pitchFamily="49" charset="0"/>
            </a:rPr>
            <a:t> a breakdown of a potiental project that our company can conduct. This projecct will take an investment of </a:t>
          </a:r>
          <a:r>
            <a:rPr lang="en-US" sz="1100" b="0" i="0" u="none" strike="noStrike">
              <a:solidFill>
                <a:schemeClr val="bg1"/>
              </a:solidFill>
              <a:effectLst/>
              <a:latin typeface="Cascadia Code" panose="020B0609020000020004" pitchFamily="49" charset="0"/>
              <a:ea typeface="Cascadia Code" panose="020B0609020000020004" pitchFamily="49" charset="0"/>
              <a:cs typeface="Cascadia Code" panose="020B0609020000020004" pitchFamily="49" charset="0"/>
            </a:rPr>
            <a:t>$36,200 to get started and will be conducted over a 6 year period,</a:t>
          </a:r>
          <a:r>
            <a:rPr lang="en-US" sz="1100" b="0" i="0" u="none" strike="noStrike" baseline="0">
              <a:solidFill>
                <a:schemeClr val="bg1"/>
              </a:solidFill>
              <a:effectLst/>
              <a:latin typeface="Cascadia Code" panose="020B0609020000020004" pitchFamily="49" charset="0"/>
              <a:ea typeface="Cascadia Code" panose="020B0609020000020004" pitchFamily="49" charset="0"/>
              <a:cs typeface="Cascadia Code" panose="020B0609020000020004" pitchFamily="49" charset="0"/>
            </a:rPr>
            <a:t> which will be earned back in less than 2 years from the start date. Expected revenue is projected to be valued at $123,060.27, with $76,969.89 being the total cost over the projects time line, and Profits being valued at $46,090.38 today.</a:t>
          </a:r>
          <a:endParaRPr lang="en-US" sz="1100">
            <a:solidFill>
              <a:schemeClr val="bg1"/>
            </a:solidFill>
            <a:latin typeface="Cascadia Code" panose="020B0609020000020004" pitchFamily="49" charset="0"/>
            <a:ea typeface="Cascadia Code" panose="020B0609020000020004" pitchFamily="49" charset="0"/>
            <a:cs typeface="Cascadia Code" panose="020B0609020000020004" pitchFamily="49" charset="0"/>
          </a:endParaRPr>
        </a:p>
      </xdr:txBody>
    </xdr:sp>
    <xdr:clientData/>
  </xdr:twoCellAnchor>
  <xdr:twoCellAnchor>
    <xdr:from>
      <xdr:col>3</xdr:col>
      <xdr:colOff>238124</xdr:colOff>
      <xdr:row>10</xdr:row>
      <xdr:rowOff>85725</xdr:rowOff>
    </xdr:from>
    <xdr:to>
      <xdr:col>3</xdr:col>
      <xdr:colOff>342900</xdr:colOff>
      <xdr:row>11</xdr:row>
      <xdr:rowOff>80963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9AF421C6-D958-537C-E4F7-F5789D953D6B}"/>
            </a:ext>
          </a:extLst>
        </xdr:cNvPr>
        <xdr:cNvCxnSpPr/>
      </xdr:nvCxnSpPr>
      <xdr:spPr>
        <a:xfrm flipH="1">
          <a:off x="2181224" y="1895475"/>
          <a:ext cx="104776" cy="176213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</xdr:colOff>
      <xdr:row>9</xdr:row>
      <xdr:rowOff>157162</xdr:rowOff>
    </xdr:from>
    <xdr:to>
      <xdr:col>5</xdr:col>
      <xdr:colOff>0</xdr:colOff>
      <xdr:row>10</xdr:row>
      <xdr:rowOff>80962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F62ED8E-F9BA-9DAB-ECD2-C92FE04231D3}"/>
            </a:ext>
          </a:extLst>
        </xdr:cNvPr>
        <xdr:cNvSpPr txBox="1"/>
      </xdr:nvSpPr>
      <xdr:spPr>
        <a:xfrm>
          <a:off x="1966912" y="1785937"/>
          <a:ext cx="1271588" cy="104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>
              <a:solidFill>
                <a:schemeClr val="bg1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Payback</a:t>
          </a:r>
          <a:r>
            <a:rPr lang="en-US" sz="900" baseline="0">
              <a:solidFill>
                <a:schemeClr val="bg1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 Period</a:t>
          </a:r>
        </a:p>
        <a:p>
          <a:endParaRPr lang="en-US" sz="1100"/>
        </a:p>
      </xdr:txBody>
    </xdr:sp>
    <xdr:clientData/>
  </xdr:twoCellAnchor>
  <xdr:twoCellAnchor>
    <xdr:from>
      <xdr:col>7</xdr:col>
      <xdr:colOff>28575</xdr:colOff>
      <xdr:row>3</xdr:row>
      <xdr:rowOff>95249</xdr:rowOff>
    </xdr:from>
    <xdr:to>
      <xdr:col>12</xdr:col>
      <xdr:colOff>30480</xdr:colOff>
      <xdr:row>3</xdr:row>
      <xdr:rowOff>95249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A5AAF3F2-9099-CA4A-F6E6-24EE1AE4B477}"/>
            </a:ext>
          </a:extLst>
        </xdr:cNvPr>
        <xdr:cNvCxnSpPr/>
      </xdr:nvCxnSpPr>
      <xdr:spPr>
        <a:xfrm flipV="1">
          <a:off x="4562475" y="638174"/>
          <a:ext cx="3240405" cy="0"/>
        </a:xfrm>
        <a:prstGeom prst="straightConnector1">
          <a:avLst/>
        </a:prstGeom>
        <a:ln w="53975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623887</xdr:colOff>
      <xdr:row>2</xdr:row>
      <xdr:rowOff>47625</xdr:rowOff>
    </xdr:from>
    <xdr:to>
      <xdr:col>7</xdr:col>
      <xdr:colOff>623887</xdr:colOff>
      <xdr:row>3</xdr:row>
      <xdr:rowOff>49530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2233A71B-BAA7-4CEF-9087-C275687C1067}"/>
            </a:ext>
          </a:extLst>
        </xdr:cNvPr>
        <xdr:cNvCxnSpPr/>
      </xdr:nvCxnSpPr>
      <xdr:spPr>
        <a:xfrm flipH="1">
          <a:off x="5157787" y="409575"/>
          <a:ext cx="0" cy="18288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38099</xdr:colOff>
      <xdr:row>1</xdr:row>
      <xdr:rowOff>95249</xdr:rowOff>
    </xdr:from>
    <xdr:to>
      <xdr:col>9</xdr:col>
      <xdr:colOff>14287</xdr:colOff>
      <xdr:row>2</xdr:row>
      <xdr:rowOff>19049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4EF2CB2-88CA-4363-8D81-3D841C5A599B}"/>
            </a:ext>
          </a:extLst>
        </xdr:cNvPr>
        <xdr:cNvSpPr txBox="1"/>
      </xdr:nvSpPr>
      <xdr:spPr>
        <a:xfrm>
          <a:off x="4571999" y="276224"/>
          <a:ext cx="1271588" cy="104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>
              <a:solidFill>
                <a:schemeClr val="tx1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Payback</a:t>
          </a:r>
          <a:r>
            <a:rPr lang="en-US" sz="900" b="1" baseline="0">
              <a:solidFill>
                <a:schemeClr val="tx1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 Period</a:t>
          </a:r>
        </a:p>
        <a:p>
          <a:endParaRPr lang="en-US" sz="1100" b="1"/>
        </a:p>
      </xdr:txBody>
    </xdr:sp>
    <xdr:clientData/>
  </xdr:twoCellAnchor>
  <xdr:twoCellAnchor>
    <xdr:from>
      <xdr:col>6</xdr:col>
      <xdr:colOff>380999</xdr:colOff>
      <xdr:row>3</xdr:row>
      <xdr:rowOff>119063</xdr:rowOff>
    </xdr:from>
    <xdr:to>
      <xdr:col>7</xdr:col>
      <xdr:colOff>338138</xdr:colOff>
      <xdr:row>4</xdr:row>
      <xdr:rowOff>161925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A3C5AB3-1075-43AE-89CF-DC5B57E50875}"/>
            </a:ext>
          </a:extLst>
        </xdr:cNvPr>
        <xdr:cNvSpPr txBox="1"/>
      </xdr:nvSpPr>
      <xdr:spPr>
        <a:xfrm>
          <a:off x="4267199" y="661988"/>
          <a:ext cx="604839" cy="2238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Today</a:t>
          </a:r>
        </a:p>
      </xdr:txBody>
    </xdr:sp>
    <xdr:clientData/>
  </xdr:twoCellAnchor>
  <xdr:twoCellAnchor>
    <xdr:from>
      <xdr:col>11</xdr:col>
      <xdr:colOff>323849</xdr:colOff>
      <xdr:row>3</xdr:row>
      <xdr:rowOff>130969</xdr:rowOff>
    </xdr:from>
    <xdr:to>
      <xdr:col>12</xdr:col>
      <xdr:colOff>366712</xdr:colOff>
      <xdr:row>5</xdr:row>
      <xdr:rowOff>38100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DA1F13E-2DDB-4E41-9A2D-94855E6D98E7}"/>
            </a:ext>
          </a:extLst>
        </xdr:cNvPr>
        <xdr:cNvSpPr txBox="1"/>
      </xdr:nvSpPr>
      <xdr:spPr>
        <a:xfrm>
          <a:off x="7448549" y="673894"/>
          <a:ext cx="690563" cy="2690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Year</a:t>
          </a:r>
          <a:r>
            <a:rPr lang="en-US" sz="1100" b="1" baseline="0"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 6</a:t>
          </a:r>
          <a:endParaRPr lang="en-US" sz="1100" b="1">
            <a:latin typeface="Microsoft Sans Serif" panose="020B0604020202020204" pitchFamily="34" charset="0"/>
            <a:ea typeface="Microsoft Sans Serif" panose="020B0604020202020204" pitchFamily="34" charset="0"/>
            <a:cs typeface="Microsoft Sans Serif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607219</xdr:colOff>
      <xdr:row>3</xdr:row>
      <xdr:rowOff>23813</xdr:rowOff>
    </xdr:from>
    <xdr:to>
      <xdr:col>11</xdr:col>
      <xdr:colOff>645319</xdr:colOff>
      <xdr:row>18</xdr:row>
      <xdr:rowOff>52388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1C1426-1D4A-5F24-C43C-DC3F9FE89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150018</xdr:colOff>
      <xdr:row>13</xdr:row>
      <xdr:rowOff>19050</xdr:rowOff>
    </xdr:from>
    <xdr:to>
      <xdr:col>8</xdr:col>
      <xdr:colOff>535781</xdr:colOff>
      <xdr:row>28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6159F4-B3E4-455B-A7BC-B303F5AE3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home.treasury.gov/resource-center/data-chart-center/interest-rates/TextView?type=daily_treasury_yield_curve&amp;field_tdr_date_value=202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D136F-30F3-4337-9CC7-E49EC2E8FBFA}">
  <dimension ref="B2:O28"/>
  <sheetViews>
    <sheetView tabSelected="1" workbookViewId="0">
      <selection activeCell="B2" sqref="B2:O28"/>
    </sheetView>
  </sheetViews>
  <sheetFormatPr defaultRowHeight="14.25"/>
  <sheetData>
    <row r="2" spans="2:15"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3" spans="2:15"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</row>
    <row r="4" spans="2:15"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</row>
    <row r="5" spans="2:15"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</row>
    <row r="6" spans="2:15"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</row>
    <row r="7" spans="2:15"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</row>
    <row r="8" spans="2:15"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</row>
    <row r="9" spans="2:15"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</row>
    <row r="10" spans="2:15"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</row>
    <row r="11" spans="2:15"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</row>
    <row r="12" spans="2:15"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</row>
    <row r="13" spans="2:15"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</row>
    <row r="14" spans="2:15"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</row>
    <row r="15" spans="2:15"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</row>
    <row r="16" spans="2:15"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</row>
    <row r="17" spans="2:15"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</row>
    <row r="18" spans="2:15"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</row>
    <row r="19" spans="2:15"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</row>
    <row r="20" spans="2:15"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</row>
    <row r="21" spans="2:15"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</row>
    <row r="22" spans="2:15"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</row>
    <row r="23" spans="2:15"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</row>
    <row r="24" spans="2:15"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</row>
    <row r="25" spans="2:15"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</row>
    <row r="26" spans="2:15"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</row>
    <row r="27" spans="2:15"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</row>
    <row r="28" spans="2:15"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39C2-4A4F-4125-A1B1-034AF03278CF}">
  <dimension ref="B2:O107"/>
  <sheetViews>
    <sheetView topLeftCell="A101" zoomScale="85" zoomScaleNormal="85" workbookViewId="0">
      <selection activeCell="C127" sqref="C127"/>
    </sheetView>
  </sheetViews>
  <sheetFormatPr defaultColWidth="9.1328125" defaultRowHeight="15" customHeight="1"/>
  <cols>
    <col min="1" max="1" width="5.796875" style="1" customWidth="1"/>
    <col min="2" max="2" width="39.1328125" style="1" bestFit="1" customWidth="1"/>
    <col min="3" max="3" width="42.73046875" style="1" bestFit="1" customWidth="1"/>
    <col min="4" max="4" width="19.1328125" style="1" bestFit="1" customWidth="1"/>
    <col min="5" max="5" width="23.265625" style="1" bestFit="1" customWidth="1"/>
    <col min="6" max="6" width="17.796875" style="1" bestFit="1" customWidth="1"/>
    <col min="7" max="7" width="28.73046875" style="1" customWidth="1"/>
    <col min="8" max="8" width="11.46484375" style="1" bestFit="1" customWidth="1"/>
    <col min="9" max="9" width="22.53125" style="1" bestFit="1" customWidth="1"/>
    <col min="10" max="15" width="13" style="1" customWidth="1"/>
    <col min="16" max="16384" width="9.1328125" style="1"/>
  </cols>
  <sheetData>
    <row r="2" spans="2:15" ht="15" customHeight="1">
      <c r="B2" s="28" t="s">
        <v>0</v>
      </c>
      <c r="C2" s="28"/>
      <c r="D2" s="28"/>
      <c r="E2" s="28"/>
      <c r="F2" s="28"/>
      <c r="G2" s="28"/>
      <c r="H2" s="28"/>
      <c r="I2" s="28" t="s">
        <v>17</v>
      </c>
      <c r="J2" s="28"/>
      <c r="K2" s="28"/>
      <c r="L2" s="28"/>
      <c r="M2" s="28"/>
      <c r="N2" s="28"/>
      <c r="O2" s="28"/>
    </row>
    <row r="3" spans="2:15" ht="15" customHeight="1">
      <c r="B3" s="3" t="s">
        <v>70</v>
      </c>
      <c r="C3" s="3"/>
      <c r="D3" s="3"/>
      <c r="E3" s="3"/>
      <c r="F3" s="3"/>
      <c r="G3" s="3"/>
      <c r="H3" s="3"/>
      <c r="I3" s="3" t="s">
        <v>71</v>
      </c>
      <c r="J3" s="3"/>
      <c r="K3" s="3"/>
      <c r="L3" s="3"/>
      <c r="M3" s="3"/>
      <c r="N3" s="3"/>
      <c r="O3" s="3"/>
    </row>
    <row r="5" spans="2:15" ht="15" customHeight="1">
      <c r="B5" s="29" t="s">
        <v>65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1"/>
    </row>
    <row r="6" spans="2:15" s="2" customFormat="1" ht="15" customHeight="1">
      <c r="B6" s="23" t="s">
        <v>18</v>
      </c>
      <c r="C6" s="24"/>
      <c r="D6" s="24"/>
      <c r="E6" s="24"/>
      <c r="F6" s="24"/>
      <c r="G6" s="24"/>
      <c r="H6" s="24"/>
      <c r="I6" s="8" t="s">
        <v>1</v>
      </c>
      <c r="J6" s="8" t="s">
        <v>2</v>
      </c>
      <c r="K6" s="8" t="s">
        <v>3</v>
      </c>
      <c r="L6" s="8" t="s">
        <v>4</v>
      </c>
      <c r="M6" s="8" t="s">
        <v>5</v>
      </c>
      <c r="N6" s="8" t="s">
        <v>6</v>
      </c>
      <c r="O6" s="9" t="s">
        <v>7</v>
      </c>
    </row>
    <row r="7" spans="2:15" s="2" customFormat="1" ht="15" customHeight="1">
      <c r="B7" s="16" t="s">
        <v>66</v>
      </c>
      <c r="C7" s="17"/>
      <c r="D7" s="17"/>
      <c r="E7" s="17"/>
      <c r="F7" s="17"/>
      <c r="G7" s="17"/>
      <c r="H7" s="17"/>
      <c r="I7" s="10">
        <v>1000</v>
      </c>
      <c r="J7" s="10">
        <v>1100</v>
      </c>
      <c r="K7" s="10">
        <v>1200</v>
      </c>
      <c r="L7" s="10">
        <v>1300</v>
      </c>
      <c r="M7" s="10">
        <v>1400</v>
      </c>
      <c r="N7" s="10">
        <v>1500</v>
      </c>
      <c r="O7" s="11">
        <f>SUM(I7:N7)</f>
        <v>7500</v>
      </c>
    </row>
    <row r="8" spans="2:15" ht="15" customHeight="1">
      <c r="B8" s="16" t="s">
        <v>67</v>
      </c>
      <c r="C8" s="17"/>
      <c r="D8" s="17"/>
      <c r="E8" s="17"/>
      <c r="F8" s="17"/>
      <c r="G8" s="17"/>
      <c r="H8" s="17"/>
      <c r="I8" s="10">
        <v>200</v>
      </c>
      <c r="J8" s="10">
        <v>220</v>
      </c>
      <c r="K8" s="10">
        <v>240</v>
      </c>
      <c r="L8" s="10">
        <v>260</v>
      </c>
      <c r="M8" s="10">
        <v>280</v>
      </c>
      <c r="N8" s="10">
        <v>300</v>
      </c>
      <c r="O8" s="11">
        <f>SUM(I8:N8)</f>
        <v>1500</v>
      </c>
    </row>
    <row r="9" spans="2:15" s="2" customFormat="1" ht="26.25" customHeight="1">
      <c r="B9" s="16" t="s">
        <v>89</v>
      </c>
      <c r="C9" s="17"/>
      <c r="D9" s="17"/>
      <c r="E9" s="17"/>
      <c r="F9" s="17"/>
      <c r="G9" s="17"/>
      <c r="H9" s="17"/>
      <c r="I9" s="10">
        <v>35000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11">
        <f>SUM(I9:N9)</f>
        <v>35000</v>
      </c>
    </row>
    <row r="10" spans="2:15" s="2" customFormat="1" ht="19.5" customHeight="1">
      <c r="B10" s="16"/>
      <c r="C10" s="17"/>
      <c r="D10" s="17"/>
      <c r="E10" s="17"/>
      <c r="F10" s="17"/>
      <c r="G10" s="17"/>
      <c r="H10" s="17"/>
      <c r="I10" s="10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11">
        <f>SUM(I10:N10)</f>
        <v>0</v>
      </c>
    </row>
    <row r="11" spans="2:15" s="2" customFormat="1" ht="19.5" customHeight="1">
      <c r="B11" s="16"/>
      <c r="C11" s="17"/>
      <c r="D11" s="17"/>
      <c r="E11" s="17"/>
      <c r="F11" s="17"/>
      <c r="G11" s="17"/>
      <c r="H11" s="17"/>
      <c r="I11" s="10" t="s">
        <v>8</v>
      </c>
      <c r="J11" s="3" t="s">
        <v>8</v>
      </c>
      <c r="K11" s="3" t="s">
        <v>8</v>
      </c>
      <c r="L11" s="3" t="s">
        <v>8</v>
      </c>
      <c r="M11" s="3" t="s">
        <v>8</v>
      </c>
      <c r="N11" s="3" t="s">
        <v>8</v>
      </c>
      <c r="O11" s="11">
        <f>SUM(I11:N11)</f>
        <v>0</v>
      </c>
    </row>
    <row r="12" spans="2:15" s="2" customFormat="1" ht="19.5" customHeight="1">
      <c r="B12" s="18" t="s">
        <v>7</v>
      </c>
      <c r="C12" s="19"/>
      <c r="D12" s="19"/>
      <c r="E12" s="19"/>
      <c r="F12" s="19"/>
      <c r="G12" s="19"/>
      <c r="H12" s="19"/>
      <c r="I12" s="55">
        <f>SUM(I7:I11)</f>
        <v>36200</v>
      </c>
      <c r="J12" s="14">
        <f t="shared" ref="J12:O12" si="0">SUM(J7:J11)</f>
        <v>1320</v>
      </c>
      <c r="K12" s="12">
        <f t="shared" si="0"/>
        <v>1440</v>
      </c>
      <c r="L12" s="12">
        <f t="shared" si="0"/>
        <v>1560</v>
      </c>
      <c r="M12" s="12">
        <f t="shared" si="0"/>
        <v>1680</v>
      </c>
      <c r="N12" s="12">
        <f t="shared" si="0"/>
        <v>1800</v>
      </c>
      <c r="O12" s="13">
        <f t="shared" si="0"/>
        <v>44000</v>
      </c>
    </row>
    <row r="13" spans="2:15" s="2" customFormat="1" ht="19.5" customHeight="1">
      <c r="B13" s="5"/>
      <c r="C13" s="5"/>
      <c r="D13" s="5"/>
      <c r="E13" s="5"/>
      <c r="F13" s="5"/>
      <c r="G13" s="5"/>
      <c r="H13" s="5"/>
      <c r="I13" s="6"/>
      <c r="J13" s="7"/>
      <c r="K13" s="6"/>
      <c r="L13" s="6"/>
      <c r="M13" s="6"/>
      <c r="N13" s="6"/>
      <c r="O13" s="6"/>
    </row>
    <row r="14" spans="2:15" s="2" customFormat="1" ht="19.5" customHeight="1">
      <c r="B14" s="23" t="s">
        <v>9</v>
      </c>
      <c r="C14" s="24"/>
      <c r="D14" s="24"/>
      <c r="E14" s="24"/>
      <c r="F14" s="24"/>
      <c r="G14" s="24"/>
      <c r="H14" s="24"/>
      <c r="I14" s="8" t="s">
        <v>1</v>
      </c>
      <c r="J14" s="8" t="s">
        <v>2</v>
      </c>
      <c r="K14" s="8" t="s">
        <v>3</v>
      </c>
      <c r="L14" s="8" t="s">
        <v>4</v>
      </c>
      <c r="M14" s="8" t="s">
        <v>5</v>
      </c>
      <c r="N14" s="8" t="s">
        <v>6</v>
      </c>
      <c r="O14" s="9" t="s">
        <v>7</v>
      </c>
    </row>
    <row r="15" spans="2:15" s="2" customFormat="1" ht="19.5" customHeight="1">
      <c r="B15" s="16" t="s">
        <v>11</v>
      </c>
      <c r="C15" s="17"/>
      <c r="D15" s="17"/>
      <c r="E15" s="17"/>
      <c r="F15" s="17"/>
      <c r="G15" s="17"/>
      <c r="H15" s="17"/>
      <c r="I15" s="10">
        <v>1000</v>
      </c>
      <c r="J15" s="10">
        <v>1100</v>
      </c>
      <c r="K15" s="10">
        <v>1200</v>
      </c>
      <c r="L15" s="10">
        <v>1300</v>
      </c>
      <c r="M15" s="10">
        <v>1400</v>
      </c>
      <c r="N15" s="10">
        <v>1500</v>
      </c>
      <c r="O15" s="11">
        <f>SUM(I15:N15)</f>
        <v>7500</v>
      </c>
    </row>
    <row r="16" spans="2:15" s="2" customFormat="1" ht="19.5" customHeight="1">
      <c r="B16" s="16" t="s">
        <v>12</v>
      </c>
      <c r="C16" s="17"/>
      <c r="D16" s="17"/>
      <c r="E16" s="17"/>
      <c r="F16" s="17"/>
      <c r="G16" s="17"/>
      <c r="H16" s="17"/>
      <c r="I16" s="10">
        <v>200</v>
      </c>
      <c r="J16" s="10">
        <v>220</v>
      </c>
      <c r="K16" s="10">
        <v>240</v>
      </c>
      <c r="L16" s="10">
        <v>260</v>
      </c>
      <c r="M16" s="10">
        <v>280</v>
      </c>
      <c r="N16" s="10">
        <v>300</v>
      </c>
      <c r="O16" s="11">
        <f>SUM(I16:N16)</f>
        <v>1500</v>
      </c>
    </row>
    <row r="17" spans="2:15" s="2" customFormat="1" ht="19.5" customHeight="1">
      <c r="B17" s="16"/>
      <c r="C17" s="17"/>
      <c r="D17" s="17"/>
      <c r="E17" s="17"/>
      <c r="F17" s="17"/>
      <c r="G17" s="17"/>
      <c r="H17" s="17"/>
      <c r="I17" s="10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11">
        <f>SUM(I17:N17)</f>
        <v>0</v>
      </c>
    </row>
    <row r="18" spans="2:15" s="2" customFormat="1" ht="15" customHeight="1">
      <c r="B18" s="16"/>
      <c r="C18" s="17"/>
      <c r="D18" s="17"/>
      <c r="E18" s="17"/>
      <c r="F18" s="17"/>
      <c r="G18" s="17"/>
      <c r="H18" s="17"/>
      <c r="I18" s="10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11">
        <f>SUM(I18:N18)</f>
        <v>0</v>
      </c>
    </row>
    <row r="19" spans="2:15" s="2" customFormat="1" ht="15" customHeight="1">
      <c r="B19" s="16"/>
      <c r="C19" s="17"/>
      <c r="D19" s="17"/>
      <c r="E19" s="17"/>
      <c r="F19" s="17"/>
      <c r="G19" s="17"/>
      <c r="H19" s="17"/>
      <c r="I19" s="10" t="s">
        <v>8</v>
      </c>
      <c r="J19" s="3" t="s">
        <v>8</v>
      </c>
      <c r="K19" s="3" t="s">
        <v>8</v>
      </c>
      <c r="L19" s="3" t="s">
        <v>8</v>
      </c>
      <c r="M19" s="3" t="s">
        <v>8</v>
      </c>
      <c r="N19" s="3" t="s">
        <v>8</v>
      </c>
      <c r="O19" s="11">
        <f>SUM(I19:N19)</f>
        <v>0</v>
      </c>
    </row>
    <row r="20" spans="2:15" s="2" customFormat="1" ht="15" customHeight="1">
      <c r="B20" s="18" t="s">
        <v>7</v>
      </c>
      <c r="C20" s="19"/>
      <c r="D20" s="19"/>
      <c r="E20" s="19"/>
      <c r="F20" s="19"/>
      <c r="G20" s="19"/>
      <c r="H20" s="19"/>
      <c r="I20" s="12">
        <f t="shared" ref="I20:O20" si="1">SUM(I15:I19)</f>
        <v>1200</v>
      </c>
      <c r="J20" s="14">
        <f t="shared" si="1"/>
        <v>1320</v>
      </c>
      <c r="K20" s="12">
        <f t="shared" si="1"/>
        <v>1440</v>
      </c>
      <c r="L20" s="12">
        <f t="shared" si="1"/>
        <v>1560</v>
      </c>
      <c r="M20" s="12">
        <f t="shared" si="1"/>
        <v>1680</v>
      </c>
      <c r="N20" s="12">
        <f t="shared" si="1"/>
        <v>1800</v>
      </c>
      <c r="O20" s="13">
        <f t="shared" si="1"/>
        <v>9000</v>
      </c>
    </row>
    <row r="21" spans="2:15" s="2" customFormat="1" ht="15" customHeight="1"/>
    <row r="22" spans="2:15" s="2" customFormat="1" ht="15" customHeight="1">
      <c r="B22" s="23" t="s">
        <v>19</v>
      </c>
      <c r="C22" s="24"/>
      <c r="D22" s="24"/>
      <c r="E22" s="24"/>
      <c r="F22" s="24"/>
      <c r="G22" s="24"/>
      <c r="H22" s="24"/>
      <c r="I22" s="8" t="s">
        <v>1</v>
      </c>
      <c r="J22" s="8" t="s">
        <v>2</v>
      </c>
      <c r="K22" s="8" t="s">
        <v>3</v>
      </c>
      <c r="L22" s="8" t="s">
        <v>4</v>
      </c>
      <c r="M22" s="8" t="s">
        <v>5</v>
      </c>
      <c r="N22" s="8" t="s">
        <v>6</v>
      </c>
      <c r="O22" s="9" t="s">
        <v>7</v>
      </c>
    </row>
    <row r="23" spans="2:15" s="2" customFormat="1" ht="15" customHeight="1">
      <c r="B23" s="16" t="s">
        <v>68</v>
      </c>
      <c r="C23" s="17"/>
      <c r="D23" s="17"/>
      <c r="E23" s="17"/>
      <c r="F23" s="17"/>
      <c r="G23" s="17"/>
      <c r="H23" s="17"/>
      <c r="I23" s="10">
        <v>500</v>
      </c>
      <c r="J23" s="10">
        <v>400</v>
      </c>
      <c r="K23" s="10">
        <v>600</v>
      </c>
      <c r="L23" s="10">
        <v>800</v>
      </c>
      <c r="M23" s="10">
        <v>500</v>
      </c>
      <c r="N23" s="10">
        <v>300</v>
      </c>
      <c r="O23" s="11">
        <f>SUM(I23:N23)</f>
        <v>3100</v>
      </c>
    </row>
    <row r="24" spans="2:15" s="2" customFormat="1" ht="15" customHeight="1">
      <c r="B24" s="16" t="s">
        <v>69</v>
      </c>
      <c r="C24" s="17"/>
      <c r="D24" s="17"/>
      <c r="E24" s="17"/>
      <c r="F24" s="17"/>
      <c r="G24" s="17"/>
      <c r="H24" s="17"/>
      <c r="I24" s="10">
        <v>1000</v>
      </c>
      <c r="J24" s="10">
        <v>1000</v>
      </c>
      <c r="K24" s="10">
        <v>2000</v>
      </c>
      <c r="L24" s="10">
        <v>3000</v>
      </c>
      <c r="M24" s="10">
        <v>2000</v>
      </c>
      <c r="N24" s="10">
        <v>1500</v>
      </c>
      <c r="O24" s="11">
        <f>SUM(I24:N24)</f>
        <v>10500</v>
      </c>
    </row>
    <row r="25" spans="2:15" s="2" customFormat="1" ht="15" customHeight="1">
      <c r="B25" s="16"/>
      <c r="C25" s="17"/>
      <c r="D25" s="17"/>
      <c r="E25" s="17"/>
      <c r="F25" s="17"/>
      <c r="G25" s="17"/>
      <c r="H25" s="17"/>
      <c r="I25" s="10" t="s">
        <v>8</v>
      </c>
      <c r="J25" s="3" t="s">
        <v>8</v>
      </c>
      <c r="K25" s="3" t="s">
        <v>8</v>
      </c>
      <c r="L25" s="3" t="s">
        <v>8</v>
      </c>
      <c r="M25" s="3" t="s">
        <v>8</v>
      </c>
      <c r="N25" s="3" t="s">
        <v>8</v>
      </c>
      <c r="O25" s="11">
        <f>SUM(I25:N25)</f>
        <v>0</v>
      </c>
    </row>
    <row r="26" spans="2:15" s="2" customFormat="1" ht="15" customHeight="1">
      <c r="B26" s="16"/>
      <c r="C26" s="17"/>
      <c r="D26" s="17"/>
      <c r="E26" s="17"/>
      <c r="F26" s="17"/>
      <c r="G26" s="17"/>
      <c r="H26" s="17"/>
      <c r="I26" s="10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11">
        <f>SUM(I26:N26)</f>
        <v>0</v>
      </c>
    </row>
    <row r="27" spans="2:15" s="2" customFormat="1" ht="15" customHeight="1">
      <c r="B27" s="16"/>
      <c r="C27" s="17"/>
      <c r="D27" s="17"/>
      <c r="E27" s="17"/>
      <c r="F27" s="17"/>
      <c r="G27" s="17"/>
      <c r="H27" s="17"/>
      <c r="I27" s="10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11">
        <f>SUM(I27:N27)</f>
        <v>0</v>
      </c>
    </row>
    <row r="28" spans="2:15" s="2" customFormat="1" ht="15" customHeight="1">
      <c r="B28" s="18" t="s">
        <v>7</v>
      </c>
      <c r="C28" s="19"/>
      <c r="D28" s="19"/>
      <c r="E28" s="19"/>
      <c r="F28" s="19"/>
      <c r="G28" s="19"/>
      <c r="H28" s="19"/>
      <c r="I28" s="12">
        <f t="shared" ref="I28:O28" si="2">SUM(I23:I27)</f>
        <v>1500</v>
      </c>
      <c r="J28" s="12">
        <f t="shared" si="2"/>
        <v>1400</v>
      </c>
      <c r="K28" s="12">
        <f t="shared" si="2"/>
        <v>2600</v>
      </c>
      <c r="L28" s="12">
        <f t="shared" si="2"/>
        <v>3800</v>
      </c>
      <c r="M28" s="12">
        <f t="shared" si="2"/>
        <v>2500</v>
      </c>
      <c r="N28" s="12">
        <f t="shared" si="2"/>
        <v>1800</v>
      </c>
      <c r="O28" s="13">
        <f t="shared" si="2"/>
        <v>13600</v>
      </c>
    </row>
    <row r="29" spans="2:15" s="2" customFormat="1" ht="15" customHeight="1"/>
    <row r="30" spans="2:15" s="2" customFormat="1" ht="15" customHeight="1">
      <c r="B30" s="23" t="s">
        <v>10</v>
      </c>
      <c r="C30" s="24"/>
      <c r="D30" s="24"/>
      <c r="E30" s="24"/>
      <c r="F30" s="24"/>
      <c r="G30" s="24"/>
      <c r="H30" s="24"/>
      <c r="I30" s="8" t="s">
        <v>1</v>
      </c>
      <c r="J30" s="8" t="s">
        <v>2</v>
      </c>
      <c r="K30" s="8" t="s">
        <v>3</v>
      </c>
      <c r="L30" s="8" t="s">
        <v>4</v>
      </c>
      <c r="M30" s="8" t="s">
        <v>5</v>
      </c>
      <c r="N30" s="8" t="s">
        <v>6</v>
      </c>
      <c r="O30" s="9" t="s">
        <v>7</v>
      </c>
    </row>
    <row r="31" spans="2:15" s="2" customFormat="1" ht="15" customHeight="1">
      <c r="B31" s="16" t="s">
        <v>14</v>
      </c>
      <c r="C31" s="17"/>
      <c r="D31" s="17"/>
      <c r="E31" s="17"/>
      <c r="F31" s="17"/>
      <c r="G31" s="17"/>
      <c r="H31" s="17"/>
      <c r="I31" s="10">
        <v>1000</v>
      </c>
      <c r="J31" s="10">
        <v>1000</v>
      </c>
      <c r="K31" s="10">
        <v>1000</v>
      </c>
      <c r="L31" s="10">
        <v>1000</v>
      </c>
      <c r="M31" s="10">
        <v>1000</v>
      </c>
      <c r="N31" s="10">
        <v>1000</v>
      </c>
      <c r="O31" s="11">
        <f>SUM(I31:N31)</f>
        <v>6000</v>
      </c>
    </row>
    <row r="32" spans="2:15" s="2" customFormat="1" ht="15" customHeight="1">
      <c r="B32" s="16"/>
      <c r="C32" s="17"/>
      <c r="D32" s="17"/>
      <c r="E32" s="17"/>
      <c r="F32" s="17"/>
      <c r="G32" s="17"/>
      <c r="H32" s="17"/>
      <c r="I32" s="10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11">
        <f>SUM(I32:N32)</f>
        <v>0</v>
      </c>
    </row>
    <row r="33" spans="2:15" s="2" customFormat="1" ht="15" customHeight="1">
      <c r="B33" s="16"/>
      <c r="C33" s="17"/>
      <c r="D33" s="17"/>
      <c r="E33" s="17"/>
      <c r="F33" s="17"/>
      <c r="G33" s="17"/>
      <c r="H33" s="17"/>
      <c r="I33" s="10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11">
        <f>SUM(I33:N33)</f>
        <v>0</v>
      </c>
    </row>
    <row r="34" spans="2:15" s="2" customFormat="1" ht="15" customHeight="1">
      <c r="B34" s="16"/>
      <c r="C34" s="17"/>
      <c r="D34" s="17"/>
      <c r="E34" s="17"/>
      <c r="F34" s="17"/>
      <c r="G34" s="17"/>
      <c r="H34" s="17"/>
      <c r="I34" s="10" t="s">
        <v>8</v>
      </c>
      <c r="J34" s="3" t="s">
        <v>8</v>
      </c>
      <c r="K34" s="3" t="s">
        <v>8</v>
      </c>
      <c r="L34" s="3" t="s">
        <v>8</v>
      </c>
      <c r="M34" s="3" t="s">
        <v>8</v>
      </c>
      <c r="N34" s="3" t="s">
        <v>8</v>
      </c>
      <c r="O34" s="11">
        <f>SUM(I34:N34)</f>
        <v>0</v>
      </c>
    </row>
    <row r="35" spans="2:15" s="2" customFormat="1" ht="15" customHeight="1">
      <c r="B35" s="16"/>
      <c r="C35" s="17"/>
      <c r="D35" s="17"/>
      <c r="E35" s="17"/>
      <c r="F35" s="17"/>
      <c r="G35" s="17"/>
      <c r="H35" s="17"/>
      <c r="I35" s="10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11">
        <f>SUM(I35:N35)</f>
        <v>0</v>
      </c>
    </row>
    <row r="36" spans="2:15" s="2" customFormat="1" ht="15" customHeight="1">
      <c r="B36" s="18" t="s">
        <v>7</v>
      </c>
      <c r="C36" s="19"/>
      <c r="D36" s="19"/>
      <c r="E36" s="19"/>
      <c r="F36" s="19"/>
      <c r="G36" s="19"/>
      <c r="H36" s="19"/>
      <c r="I36" s="12">
        <f t="shared" ref="I36:O36" si="3">SUM(I31:I35)</f>
        <v>1000</v>
      </c>
      <c r="J36" s="12">
        <f t="shared" si="3"/>
        <v>1000</v>
      </c>
      <c r="K36" s="12">
        <f t="shared" si="3"/>
        <v>1000</v>
      </c>
      <c r="L36" s="12">
        <f t="shared" si="3"/>
        <v>1000</v>
      </c>
      <c r="M36" s="12">
        <f t="shared" si="3"/>
        <v>1000</v>
      </c>
      <c r="N36" s="12">
        <f t="shared" si="3"/>
        <v>1000</v>
      </c>
      <c r="O36" s="13">
        <f t="shared" si="3"/>
        <v>6000</v>
      </c>
    </row>
    <row r="37" spans="2:15" s="2" customFormat="1" ht="15" customHeight="1"/>
    <row r="38" spans="2:15" s="2" customFormat="1" ht="15" customHeight="1">
      <c r="B38" s="23" t="s">
        <v>20</v>
      </c>
      <c r="C38" s="24"/>
      <c r="D38" s="24"/>
      <c r="E38" s="24"/>
      <c r="F38" s="24"/>
      <c r="G38" s="24"/>
      <c r="H38" s="24"/>
      <c r="I38" s="8" t="s">
        <v>1</v>
      </c>
      <c r="J38" s="8" t="s">
        <v>2</v>
      </c>
      <c r="K38" s="8" t="s">
        <v>3</v>
      </c>
      <c r="L38" s="8" t="s">
        <v>4</v>
      </c>
      <c r="M38" s="8" t="s">
        <v>5</v>
      </c>
      <c r="N38" s="8" t="s">
        <v>6</v>
      </c>
      <c r="O38" s="9" t="s">
        <v>7</v>
      </c>
    </row>
    <row r="39" spans="2:15" s="2" customFormat="1" ht="15" customHeight="1">
      <c r="B39" s="16" t="s">
        <v>14</v>
      </c>
      <c r="C39" s="17"/>
      <c r="D39" s="17"/>
      <c r="E39" s="17"/>
      <c r="F39" s="17"/>
      <c r="G39" s="17"/>
      <c r="H39" s="17"/>
      <c r="I39" s="10">
        <v>1000</v>
      </c>
      <c r="J39" s="10">
        <v>1000</v>
      </c>
      <c r="K39" s="10">
        <v>1000</v>
      </c>
      <c r="L39" s="10">
        <v>1000</v>
      </c>
      <c r="M39" s="10">
        <v>1000</v>
      </c>
      <c r="N39" s="10">
        <v>1000</v>
      </c>
      <c r="O39" s="11">
        <f>SUM(I39:N39)</f>
        <v>6000</v>
      </c>
    </row>
    <row r="40" spans="2:15" s="2" customFormat="1" ht="15" customHeight="1">
      <c r="B40" s="16"/>
      <c r="C40" s="17"/>
      <c r="D40" s="17"/>
      <c r="E40" s="17"/>
      <c r="F40" s="17"/>
      <c r="G40" s="17"/>
      <c r="H40" s="17"/>
      <c r="I40" s="10" t="s">
        <v>8</v>
      </c>
      <c r="J40" s="3" t="s">
        <v>8</v>
      </c>
      <c r="K40" s="3" t="s">
        <v>8</v>
      </c>
      <c r="L40" s="3" t="s">
        <v>8</v>
      </c>
      <c r="M40" s="3" t="s">
        <v>8</v>
      </c>
      <c r="N40" s="3" t="s">
        <v>8</v>
      </c>
      <c r="O40" s="11">
        <f>SUM(I40:N40)</f>
        <v>0</v>
      </c>
    </row>
    <row r="41" spans="2:15" s="2" customFormat="1" ht="15" customHeight="1">
      <c r="B41" s="16"/>
      <c r="C41" s="17"/>
      <c r="D41" s="17"/>
      <c r="E41" s="17"/>
      <c r="F41" s="17"/>
      <c r="G41" s="17"/>
      <c r="H41" s="17"/>
      <c r="I41" s="10" t="s">
        <v>8</v>
      </c>
      <c r="J41" s="3" t="s">
        <v>8</v>
      </c>
      <c r="K41" s="3" t="s">
        <v>8</v>
      </c>
      <c r="L41" s="3" t="s">
        <v>8</v>
      </c>
      <c r="M41" s="3" t="s">
        <v>8</v>
      </c>
      <c r="N41" s="3" t="s">
        <v>8</v>
      </c>
      <c r="O41" s="11">
        <f>SUM(I41:N41)</f>
        <v>0</v>
      </c>
    </row>
    <row r="42" spans="2:15" s="2" customFormat="1" ht="15" customHeight="1">
      <c r="B42" s="16"/>
      <c r="C42" s="17"/>
      <c r="D42" s="17"/>
      <c r="E42" s="17"/>
      <c r="F42" s="17"/>
      <c r="G42" s="17"/>
      <c r="H42" s="17"/>
      <c r="I42" s="10" t="s">
        <v>8</v>
      </c>
      <c r="J42" s="3" t="s">
        <v>8</v>
      </c>
      <c r="K42" s="3" t="s">
        <v>8</v>
      </c>
      <c r="L42" s="3" t="s">
        <v>8</v>
      </c>
      <c r="M42" s="3" t="s">
        <v>8</v>
      </c>
      <c r="N42" s="3" t="s">
        <v>8</v>
      </c>
      <c r="O42" s="11">
        <f>SUM(I42:N42)</f>
        <v>0</v>
      </c>
    </row>
    <row r="43" spans="2:15" s="2" customFormat="1" ht="15" customHeight="1">
      <c r="B43" s="16"/>
      <c r="C43" s="17"/>
      <c r="D43" s="17"/>
      <c r="E43" s="17"/>
      <c r="F43" s="17"/>
      <c r="G43" s="17"/>
      <c r="H43" s="17"/>
      <c r="I43" s="10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11">
        <f>SUM(I43:N43)</f>
        <v>0</v>
      </c>
    </row>
    <row r="44" spans="2:15" s="2" customFormat="1" ht="15" customHeight="1">
      <c r="B44" s="18" t="s">
        <v>7</v>
      </c>
      <c r="C44" s="19"/>
      <c r="D44" s="19"/>
      <c r="E44" s="19"/>
      <c r="F44" s="19"/>
      <c r="G44" s="19"/>
      <c r="H44" s="19"/>
      <c r="I44" s="12">
        <f t="shared" ref="I44:O44" si="4">SUM(I39:I43)</f>
        <v>1000</v>
      </c>
      <c r="J44" s="12">
        <f t="shared" si="4"/>
        <v>1000</v>
      </c>
      <c r="K44" s="12">
        <f t="shared" si="4"/>
        <v>1000</v>
      </c>
      <c r="L44" s="12">
        <f t="shared" si="4"/>
        <v>1000</v>
      </c>
      <c r="M44" s="12">
        <f t="shared" si="4"/>
        <v>1000</v>
      </c>
      <c r="N44" s="12">
        <f t="shared" si="4"/>
        <v>1000</v>
      </c>
      <c r="O44" s="13">
        <f t="shared" si="4"/>
        <v>6000</v>
      </c>
    </row>
    <row r="45" spans="2:15" s="2" customFormat="1" ht="15" customHeight="1"/>
    <row r="46" spans="2:15" s="2" customFormat="1" ht="15" customHeight="1">
      <c r="B46" s="23" t="s">
        <v>21</v>
      </c>
      <c r="C46" s="24"/>
      <c r="D46" s="24"/>
      <c r="E46" s="24"/>
      <c r="F46" s="24"/>
      <c r="G46" s="24"/>
      <c r="H46" s="24"/>
      <c r="I46" s="8" t="s">
        <v>1</v>
      </c>
      <c r="J46" s="8" t="s">
        <v>2</v>
      </c>
      <c r="K46" s="8" t="s">
        <v>3</v>
      </c>
      <c r="L46" s="8" t="s">
        <v>4</v>
      </c>
      <c r="M46" s="8" t="s">
        <v>5</v>
      </c>
      <c r="N46" s="8" t="s">
        <v>6</v>
      </c>
      <c r="O46" s="9" t="s">
        <v>7</v>
      </c>
    </row>
    <row r="47" spans="2:15" s="2" customFormat="1" ht="15" customHeight="1">
      <c r="B47" s="16" t="s">
        <v>14</v>
      </c>
      <c r="C47" s="17"/>
      <c r="D47" s="17"/>
      <c r="E47" s="17"/>
      <c r="F47" s="17"/>
      <c r="G47" s="17"/>
      <c r="H47" s="17"/>
      <c r="I47" s="10">
        <v>1000</v>
      </c>
      <c r="J47" s="10">
        <v>1000</v>
      </c>
      <c r="K47" s="10">
        <v>1000</v>
      </c>
      <c r="L47" s="10">
        <v>1000</v>
      </c>
      <c r="M47" s="10">
        <v>1000</v>
      </c>
      <c r="N47" s="10">
        <v>1000</v>
      </c>
      <c r="O47" s="11">
        <f>SUM(I47:N47)</f>
        <v>6000</v>
      </c>
    </row>
    <row r="48" spans="2:15" s="2" customFormat="1" ht="15" customHeight="1">
      <c r="B48" s="16"/>
      <c r="C48" s="17"/>
      <c r="D48" s="17"/>
      <c r="E48" s="17"/>
      <c r="F48" s="17"/>
      <c r="G48" s="17"/>
      <c r="H48" s="17"/>
      <c r="I48" s="10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11">
        <f>SUM(I48:N48)</f>
        <v>0</v>
      </c>
    </row>
    <row r="49" spans="2:15" s="2" customFormat="1" ht="15" customHeight="1">
      <c r="B49" s="16"/>
      <c r="C49" s="17"/>
      <c r="D49" s="17"/>
      <c r="E49" s="17"/>
      <c r="F49" s="17"/>
      <c r="G49" s="17"/>
      <c r="H49" s="17"/>
      <c r="I49" s="10" t="s">
        <v>8</v>
      </c>
      <c r="J49" s="3" t="s">
        <v>8</v>
      </c>
      <c r="K49" s="3" t="s">
        <v>8</v>
      </c>
      <c r="L49" s="3" t="s">
        <v>8</v>
      </c>
      <c r="M49" s="3" t="s">
        <v>8</v>
      </c>
      <c r="N49" s="3" t="s">
        <v>8</v>
      </c>
      <c r="O49" s="11">
        <f>SUM(I49:N49)</f>
        <v>0</v>
      </c>
    </row>
    <row r="50" spans="2:15" s="2" customFormat="1" ht="15" customHeight="1">
      <c r="B50" s="16"/>
      <c r="C50" s="17"/>
      <c r="D50" s="17"/>
      <c r="E50" s="17"/>
      <c r="F50" s="17"/>
      <c r="G50" s="17"/>
      <c r="H50" s="17"/>
      <c r="I50" s="10" t="s">
        <v>8</v>
      </c>
      <c r="J50" s="3" t="s">
        <v>8</v>
      </c>
      <c r="K50" s="3" t="s">
        <v>8</v>
      </c>
      <c r="L50" s="3" t="s">
        <v>8</v>
      </c>
      <c r="M50" s="3" t="s">
        <v>8</v>
      </c>
      <c r="N50" s="3" t="s">
        <v>8</v>
      </c>
      <c r="O50" s="11">
        <f>SUM(I50:N50)</f>
        <v>0</v>
      </c>
    </row>
    <row r="51" spans="2:15" s="2" customFormat="1" ht="15" customHeight="1">
      <c r="B51" s="16"/>
      <c r="C51" s="17"/>
      <c r="D51" s="17"/>
      <c r="E51" s="17"/>
      <c r="F51" s="17"/>
      <c r="G51" s="17"/>
      <c r="H51" s="17"/>
      <c r="I51" s="10" t="s">
        <v>8</v>
      </c>
      <c r="J51" s="3" t="s">
        <v>8</v>
      </c>
      <c r="K51" s="3" t="s">
        <v>8</v>
      </c>
      <c r="L51" s="3" t="s">
        <v>8</v>
      </c>
      <c r="M51" s="3" t="s">
        <v>8</v>
      </c>
      <c r="N51" s="3" t="s">
        <v>8</v>
      </c>
      <c r="O51" s="11">
        <f>SUM(I51:N51)</f>
        <v>0</v>
      </c>
    </row>
    <row r="52" spans="2:15" s="2" customFormat="1" ht="15" customHeight="1">
      <c r="B52" s="18" t="s">
        <v>7</v>
      </c>
      <c r="C52" s="19"/>
      <c r="D52" s="19"/>
      <c r="E52" s="19"/>
      <c r="F52" s="19"/>
      <c r="G52" s="19"/>
      <c r="H52" s="19"/>
      <c r="I52" s="12">
        <f t="shared" ref="I52:O52" si="5">SUM(I47:I51)</f>
        <v>1000</v>
      </c>
      <c r="J52" s="12">
        <f t="shared" si="5"/>
        <v>1000</v>
      </c>
      <c r="K52" s="12">
        <f t="shared" si="5"/>
        <v>1000</v>
      </c>
      <c r="L52" s="12">
        <f t="shared" si="5"/>
        <v>1000</v>
      </c>
      <c r="M52" s="12">
        <f t="shared" si="5"/>
        <v>1000</v>
      </c>
      <c r="N52" s="12">
        <f t="shared" si="5"/>
        <v>1000</v>
      </c>
      <c r="O52" s="13">
        <f t="shared" si="5"/>
        <v>6000</v>
      </c>
    </row>
    <row r="53" spans="2:15" s="2" customFormat="1" ht="15" customHeight="1"/>
    <row r="54" spans="2:15" s="2" customFormat="1" ht="15" customHeight="1">
      <c r="B54" s="27" t="s">
        <v>13</v>
      </c>
      <c r="C54" s="27"/>
      <c r="D54" s="27"/>
      <c r="E54" s="27"/>
      <c r="F54" s="27"/>
      <c r="G54" s="27"/>
      <c r="H54" s="27"/>
      <c r="I54" s="4">
        <f>SUM(I52,I44,I36,I28,I20,I12)</f>
        <v>41900</v>
      </c>
      <c r="J54" s="4">
        <f>SUM(J52,J44,J36,J28,J20,J12)</f>
        <v>7040</v>
      </c>
      <c r="K54" s="4">
        <f t="shared" ref="K54:O54" si="6">SUM(K52,K44,K36,K28,K20,K12)</f>
        <v>8480</v>
      </c>
      <c r="L54" s="4">
        <f t="shared" si="6"/>
        <v>9920</v>
      </c>
      <c r="M54" s="4">
        <f t="shared" si="6"/>
        <v>8860</v>
      </c>
      <c r="N54" s="4">
        <f t="shared" si="6"/>
        <v>8400</v>
      </c>
      <c r="O54" s="4">
        <f t="shared" si="6"/>
        <v>84600</v>
      </c>
    </row>
    <row r="55" spans="2:15" s="2" customFormat="1" ht="15" customHeight="1"/>
    <row r="56" spans="2:15" s="2" customFormat="1" ht="15" customHeight="1">
      <c r="B56" s="20" t="s">
        <v>23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2"/>
    </row>
    <row r="57" spans="2:15" s="2" customFormat="1" ht="15" customHeight="1">
      <c r="B57" s="23" t="s">
        <v>22</v>
      </c>
      <c r="C57" s="24"/>
      <c r="D57" s="24"/>
      <c r="E57" s="24"/>
      <c r="F57" s="24"/>
      <c r="G57" s="24"/>
      <c r="H57" s="24"/>
      <c r="I57" s="8" t="s">
        <v>1</v>
      </c>
      <c r="J57" s="8" t="s">
        <v>2</v>
      </c>
      <c r="K57" s="8" t="s">
        <v>3</v>
      </c>
      <c r="L57" s="8" t="s">
        <v>4</v>
      </c>
      <c r="M57" s="8" t="s">
        <v>5</v>
      </c>
      <c r="N57" s="8" t="s">
        <v>6</v>
      </c>
      <c r="O57" s="9" t="s">
        <v>7</v>
      </c>
    </row>
    <row r="58" spans="2:15" s="2" customFormat="1" ht="15" customHeight="1">
      <c r="B58" s="16" t="s">
        <v>15</v>
      </c>
      <c r="C58" s="17"/>
      <c r="D58" s="17"/>
      <c r="E58" s="17"/>
      <c r="F58" s="17"/>
      <c r="G58" s="17"/>
      <c r="H58" s="17"/>
      <c r="I58" s="10">
        <v>10000</v>
      </c>
      <c r="J58" s="10">
        <v>10000</v>
      </c>
      <c r="K58" s="10">
        <v>15000</v>
      </c>
      <c r="L58" s="10">
        <v>15000</v>
      </c>
      <c r="M58" s="3">
        <v>20000</v>
      </c>
      <c r="N58" s="10">
        <v>20000</v>
      </c>
      <c r="O58" s="11">
        <f>SUM(I58:N58)</f>
        <v>90000</v>
      </c>
    </row>
    <row r="59" spans="2:15" s="2" customFormat="1" ht="15" customHeight="1">
      <c r="B59" s="16" t="s">
        <v>16</v>
      </c>
      <c r="C59" s="17"/>
      <c r="D59" s="17"/>
      <c r="E59" s="17"/>
      <c r="F59" s="17"/>
      <c r="G59" s="17"/>
      <c r="H59" s="17"/>
      <c r="I59" s="10">
        <v>5000</v>
      </c>
      <c r="J59" s="10">
        <v>6000</v>
      </c>
      <c r="K59" s="10">
        <v>7000</v>
      </c>
      <c r="L59" s="10">
        <v>8000</v>
      </c>
      <c r="M59" s="10">
        <v>9000</v>
      </c>
      <c r="N59" s="10">
        <v>10000</v>
      </c>
      <c r="O59" s="11">
        <f>SUM(I59:N59)</f>
        <v>45000</v>
      </c>
    </row>
    <row r="60" spans="2:15" s="2" customFormat="1" ht="26.25" customHeight="1">
      <c r="B60" s="16" t="s">
        <v>25</v>
      </c>
      <c r="C60" s="17"/>
      <c r="D60" s="17"/>
      <c r="E60" s="17"/>
      <c r="F60" s="17"/>
      <c r="G60" s="17"/>
      <c r="H60" s="17"/>
      <c r="I60" s="10" t="s">
        <v>8</v>
      </c>
      <c r="J60" s="3" t="s">
        <v>8</v>
      </c>
      <c r="K60" s="3" t="s">
        <v>8</v>
      </c>
      <c r="L60" s="3" t="s">
        <v>8</v>
      </c>
      <c r="M60" s="3" t="s">
        <v>8</v>
      </c>
      <c r="N60" s="3" t="s">
        <v>8</v>
      </c>
      <c r="O60" s="11">
        <f>SUM(I60:N60)</f>
        <v>0</v>
      </c>
    </row>
    <row r="61" spans="2:15" s="2" customFormat="1" ht="15" customHeight="1">
      <c r="B61" s="16" t="s">
        <v>26</v>
      </c>
      <c r="C61" s="17"/>
      <c r="D61" s="17"/>
      <c r="E61" s="17"/>
      <c r="F61" s="17"/>
      <c r="G61" s="17"/>
      <c r="H61" s="17"/>
      <c r="I61" s="10" t="s">
        <v>8</v>
      </c>
      <c r="J61" s="3" t="s">
        <v>8</v>
      </c>
      <c r="K61" s="3" t="s">
        <v>8</v>
      </c>
      <c r="L61" s="3" t="s">
        <v>8</v>
      </c>
      <c r="M61" s="3" t="s">
        <v>8</v>
      </c>
      <c r="N61" s="3" t="s">
        <v>8</v>
      </c>
      <c r="O61" s="11">
        <f>SUM(I61:N61)</f>
        <v>0</v>
      </c>
    </row>
    <row r="62" spans="2:15" s="2" customFormat="1" ht="15" customHeight="1">
      <c r="B62" s="16"/>
      <c r="C62" s="17"/>
      <c r="D62" s="17"/>
      <c r="E62" s="17"/>
      <c r="F62" s="17"/>
      <c r="G62" s="17"/>
      <c r="H62" s="17"/>
      <c r="I62" s="10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11">
        <f>SUM(I62:N62)</f>
        <v>0</v>
      </c>
    </row>
    <row r="63" spans="2:15" s="2" customFormat="1" ht="15" customHeight="1">
      <c r="B63" s="18" t="s">
        <v>7</v>
      </c>
      <c r="C63" s="19"/>
      <c r="D63" s="19"/>
      <c r="E63" s="19"/>
      <c r="F63" s="19"/>
      <c r="G63" s="19"/>
      <c r="H63" s="19"/>
      <c r="I63" s="55">
        <f>SUM(I58:I62)</f>
        <v>15000</v>
      </c>
      <c r="J63" s="12">
        <f>SUM(J31:J58)</f>
        <v>23040</v>
      </c>
      <c r="K63" s="12">
        <f>SUM(K58:K62)</f>
        <v>22000</v>
      </c>
      <c r="L63" s="12">
        <f>SUM(L58:L62)</f>
        <v>23000</v>
      </c>
      <c r="M63" s="12">
        <f>SUM(M58:M62)</f>
        <v>29000</v>
      </c>
      <c r="N63" s="12">
        <f>SUM(N58:N62)</f>
        <v>30000</v>
      </c>
      <c r="O63" s="15">
        <f>SUM(O58:O62)</f>
        <v>135000</v>
      </c>
    </row>
    <row r="64" spans="2:15" s="2" customFormat="1" ht="15" customHeight="1"/>
    <row r="65" spans="2:15" s="2" customFormat="1" ht="15" customHeight="1">
      <c r="B65" s="20" t="s">
        <v>24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2"/>
    </row>
    <row r="66" spans="2:15" s="2" customFormat="1" ht="15" customHeight="1">
      <c r="B66" s="23" t="s">
        <v>27</v>
      </c>
      <c r="C66" s="24"/>
      <c r="D66" s="24"/>
      <c r="E66" s="24"/>
      <c r="F66" s="24"/>
      <c r="G66" s="24" t="s">
        <v>28</v>
      </c>
      <c r="H66" s="24"/>
      <c r="I66" s="24" t="s">
        <v>29</v>
      </c>
      <c r="J66" s="24"/>
      <c r="K66" s="24" t="s">
        <v>31</v>
      </c>
      <c r="L66" s="24"/>
      <c r="M66" s="24" t="s">
        <v>30</v>
      </c>
      <c r="N66" s="24"/>
      <c r="O66" s="25"/>
    </row>
    <row r="67" spans="2:15" s="2" customFormat="1" ht="15" customHeight="1">
      <c r="B67" s="16" t="s">
        <v>35</v>
      </c>
      <c r="C67" s="17"/>
      <c r="D67" s="17"/>
      <c r="E67" s="17"/>
      <c r="F67" s="17"/>
      <c r="G67" s="17" t="s">
        <v>32</v>
      </c>
      <c r="H67" s="17"/>
      <c r="I67" s="17" t="s">
        <v>33</v>
      </c>
      <c r="J67" s="17"/>
      <c r="K67" s="17" t="s">
        <v>51</v>
      </c>
      <c r="L67" s="17"/>
      <c r="M67" s="17" t="s">
        <v>58</v>
      </c>
      <c r="N67" s="17"/>
      <c r="O67" s="26"/>
    </row>
    <row r="68" spans="2:15" s="2" customFormat="1" ht="15" customHeight="1">
      <c r="B68" s="16" t="s">
        <v>36</v>
      </c>
      <c r="C68" s="17"/>
      <c r="D68" s="17"/>
      <c r="E68" s="17"/>
      <c r="F68" s="17"/>
      <c r="G68" s="17" t="s">
        <v>42</v>
      </c>
      <c r="H68" s="17"/>
      <c r="I68" s="17" t="s">
        <v>46</v>
      </c>
      <c r="J68" s="17"/>
      <c r="K68" s="17" t="s">
        <v>52</v>
      </c>
      <c r="L68" s="17"/>
      <c r="M68" s="17" t="s">
        <v>59</v>
      </c>
      <c r="N68" s="17"/>
      <c r="O68" s="26"/>
    </row>
    <row r="69" spans="2:15" s="2" customFormat="1" ht="26.25" customHeight="1">
      <c r="B69" s="16" t="s">
        <v>37</v>
      </c>
      <c r="C69" s="17"/>
      <c r="D69" s="17"/>
      <c r="E69" s="17"/>
      <c r="F69" s="17"/>
      <c r="G69" s="17" t="s">
        <v>43</v>
      </c>
      <c r="H69" s="17"/>
      <c r="I69" s="17" t="s">
        <v>47</v>
      </c>
      <c r="J69" s="17"/>
      <c r="K69" s="17" t="s">
        <v>53</v>
      </c>
      <c r="L69" s="17"/>
      <c r="M69" s="17" t="s">
        <v>60</v>
      </c>
      <c r="N69" s="17"/>
      <c r="O69" s="26"/>
    </row>
    <row r="70" spans="2:15" s="2" customFormat="1" ht="19.5" customHeight="1">
      <c r="B70" s="67" t="s">
        <v>38</v>
      </c>
      <c r="C70" s="64"/>
      <c r="D70" s="64"/>
      <c r="E70" s="64"/>
      <c r="F70" s="64"/>
      <c r="G70" s="64" t="s">
        <v>44</v>
      </c>
      <c r="H70" s="64"/>
      <c r="I70" s="64" t="s">
        <v>48</v>
      </c>
      <c r="J70" s="64"/>
      <c r="K70" s="64" t="s">
        <v>54</v>
      </c>
      <c r="L70" s="64"/>
      <c r="M70" s="64" t="s">
        <v>61</v>
      </c>
      <c r="N70" s="64"/>
      <c r="O70" s="69"/>
    </row>
    <row r="71" spans="2:15" s="2" customFormat="1" ht="15" customHeight="1">
      <c r="B71" s="67" t="s">
        <v>39</v>
      </c>
      <c r="C71" s="64"/>
      <c r="D71" s="64"/>
      <c r="E71" s="64"/>
      <c r="F71" s="64"/>
      <c r="G71" s="64" t="s">
        <v>43</v>
      </c>
      <c r="H71" s="64"/>
      <c r="I71" s="64" t="s">
        <v>34</v>
      </c>
      <c r="J71" s="64"/>
      <c r="K71" s="64" t="s">
        <v>55</v>
      </c>
      <c r="L71" s="64"/>
      <c r="M71" s="64" t="s">
        <v>62</v>
      </c>
      <c r="N71" s="64"/>
      <c r="O71" s="69"/>
    </row>
    <row r="72" spans="2:15" s="2" customFormat="1" ht="15" customHeight="1">
      <c r="B72" s="67" t="s">
        <v>40</v>
      </c>
      <c r="C72" s="64"/>
      <c r="D72" s="64"/>
      <c r="E72" s="64"/>
      <c r="F72" s="64"/>
      <c r="G72" s="64" t="s">
        <v>45</v>
      </c>
      <c r="H72" s="64"/>
      <c r="I72" s="64" t="s">
        <v>49</v>
      </c>
      <c r="J72" s="64"/>
      <c r="K72" s="64" t="s">
        <v>56</v>
      </c>
      <c r="L72" s="64"/>
      <c r="M72" s="64" t="s">
        <v>63</v>
      </c>
      <c r="N72" s="64"/>
      <c r="O72" s="69"/>
    </row>
    <row r="73" spans="2:15" s="2" customFormat="1" ht="15" customHeight="1">
      <c r="B73" s="65" t="s">
        <v>41</v>
      </c>
      <c r="C73" s="66"/>
      <c r="D73" s="66"/>
      <c r="E73" s="66"/>
      <c r="F73" s="66"/>
      <c r="G73" s="66" t="s">
        <v>43</v>
      </c>
      <c r="H73" s="66"/>
      <c r="I73" s="66" t="s">
        <v>50</v>
      </c>
      <c r="J73" s="66"/>
      <c r="K73" s="66" t="s">
        <v>57</v>
      </c>
      <c r="L73" s="66"/>
      <c r="M73" s="66" t="s">
        <v>64</v>
      </c>
      <c r="N73" s="66"/>
      <c r="O73" s="68"/>
    </row>
    <row r="74" spans="2:15" s="2" customFormat="1" ht="15" customHeight="1"/>
    <row r="75" spans="2:15" s="2" customFormat="1" ht="15" customHeight="1"/>
    <row r="76" spans="2:15" s="2" customFormat="1" ht="15" customHeight="1"/>
    <row r="77" spans="2:15" s="2" customFormat="1" ht="15" customHeight="1">
      <c r="B77" s="20" t="s">
        <v>76</v>
      </c>
      <c r="C77" s="21"/>
      <c r="D77" s="20" t="s">
        <v>84</v>
      </c>
      <c r="E77" s="21"/>
      <c r="F77" s="21"/>
      <c r="G77" s="22"/>
    </row>
    <row r="78" spans="2:15" s="2" customFormat="1" ht="15" customHeight="1">
      <c r="B78" s="23" t="s">
        <v>75</v>
      </c>
      <c r="C78" s="24" t="s">
        <v>7</v>
      </c>
      <c r="D78" s="23"/>
      <c r="E78" s="24" t="s">
        <v>82</v>
      </c>
      <c r="F78" s="24"/>
      <c r="G78" s="25" t="s">
        <v>83</v>
      </c>
    </row>
    <row r="79" spans="2:15" ht="15" customHeight="1">
      <c r="B79" s="59" t="s">
        <v>72</v>
      </c>
      <c r="C79" s="53">
        <f>F83</f>
        <v>46090.376085193377</v>
      </c>
      <c r="D79" s="34"/>
      <c r="E79" s="39">
        <f>((I63/B89^1)+(J63/B89^2)+(K63/B89^3)+(L63/B89^4)+(M63/B89^5)+(N63/B89^6))</f>
        <v>123060.26838495831</v>
      </c>
      <c r="F79" s="34"/>
      <c r="G79" s="43">
        <f>(I54/B89^1)+(J54/B89^2)+(K54/B89^3)+(L54/B89^4)+(M54/B89^5)+(N54/B89^6)</f>
        <v>76969.892299764935</v>
      </c>
    </row>
    <row r="80" spans="2:15" ht="15" customHeight="1">
      <c r="B80" s="59" t="s">
        <v>88</v>
      </c>
      <c r="C80" s="54">
        <f>F83/G79</f>
        <v>0.5988104531274514</v>
      </c>
      <c r="E80" s="41"/>
      <c r="G80" s="35"/>
    </row>
    <row r="81" spans="2:12" ht="15" customHeight="1">
      <c r="B81" s="59" t="s">
        <v>74</v>
      </c>
      <c r="C81" s="54">
        <f>E79/G79</f>
        <v>1.5988104531274514</v>
      </c>
      <c r="G81" s="35"/>
    </row>
    <row r="82" spans="2:12" ht="15" customHeight="1">
      <c r="B82" s="59" t="s">
        <v>73</v>
      </c>
      <c r="C82" s="56">
        <f>IRR(D96:D101)</f>
        <v>0.45489591591204626</v>
      </c>
      <c r="F82" s="44" t="s">
        <v>84</v>
      </c>
      <c r="G82" s="35"/>
    </row>
    <row r="83" spans="2:12" ht="15" customHeight="1">
      <c r="B83" s="60" t="s">
        <v>90</v>
      </c>
      <c r="C83" s="58">
        <f>B98</f>
        <v>3</v>
      </c>
      <c r="F83" s="42">
        <f>E79-G79</f>
        <v>46090.376085193377</v>
      </c>
      <c r="G83" s="35"/>
    </row>
    <row r="84" spans="2:12" ht="15" customHeight="1">
      <c r="B84" s="36"/>
      <c r="C84" s="37"/>
      <c r="D84" s="36"/>
      <c r="E84" s="37"/>
      <c r="F84" s="37"/>
      <c r="G84" s="38"/>
    </row>
    <row r="85" spans="2:12" ht="15" customHeight="1">
      <c r="L85" s="32"/>
    </row>
    <row r="86" spans="2:12" ht="15" customHeight="1">
      <c r="B86" s="20" t="s">
        <v>76</v>
      </c>
      <c r="C86" s="21"/>
      <c r="D86" s="21"/>
      <c r="E86" s="22"/>
      <c r="G86" s="1" t="s">
        <v>81</v>
      </c>
    </row>
    <row r="87" spans="2:12" ht="15" customHeight="1">
      <c r="B87" s="23" t="s">
        <v>77</v>
      </c>
      <c r="C87" s="24" t="s">
        <v>78</v>
      </c>
      <c r="D87" s="24"/>
      <c r="E87" s="25" t="s">
        <v>79</v>
      </c>
      <c r="G87" s="46" t="s">
        <v>80</v>
      </c>
    </row>
    <row r="88" spans="2:12" ht="15" customHeight="1">
      <c r="B88" s="33">
        <f>AVERAGE(3.76,3.98)</f>
        <v>3.87</v>
      </c>
      <c r="C88" s="1">
        <v>6</v>
      </c>
      <c r="E88" s="45">
        <v>46059</v>
      </c>
    </row>
    <row r="89" spans="2:12" ht="15" customHeight="1">
      <c r="B89" s="36">
        <f>1.0387</f>
        <v>1.0387</v>
      </c>
      <c r="C89" s="37"/>
      <c r="D89" s="37"/>
      <c r="E89" s="38"/>
    </row>
    <row r="93" spans="2:12" ht="15" customHeight="1">
      <c r="B93" s="20" t="s">
        <v>86</v>
      </c>
      <c r="C93" s="20"/>
      <c r="D93" s="47"/>
      <c r="E93" s="47"/>
    </row>
    <row r="94" spans="2:12" ht="15" customHeight="1">
      <c r="B94" s="52" t="s">
        <v>85</v>
      </c>
      <c r="C94" s="27" t="s">
        <v>86</v>
      </c>
      <c r="D94" s="27" t="s">
        <v>87</v>
      </c>
      <c r="E94" s="51" t="s">
        <v>91</v>
      </c>
    </row>
    <row r="95" spans="2:12" ht="15" customHeight="1">
      <c r="B95" s="33">
        <v>0</v>
      </c>
      <c r="C95" s="1">
        <v>0</v>
      </c>
      <c r="D95" s="40">
        <v>0</v>
      </c>
      <c r="E95" s="48">
        <f>D95</f>
        <v>0</v>
      </c>
    </row>
    <row r="96" spans="2:12" ht="15" customHeight="1">
      <c r="B96" s="33">
        <v>1</v>
      </c>
      <c r="C96" s="39">
        <f>I63-I54</f>
        <v>-26900</v>
      </c>
      <c r="D96" s="40">
        <f t="shared" ref="D96:D101" si="7">C96/($B$89^B96)</f>
        <v>-25897.756811398864</v>
      </c>
      <c r="E96" s="48">
        <f>SUM(D95:D96)</f>
        <v>-25897.756811398864</v>
      </c>
    </row>
    <row r="97" spans="2:5" ht="15" customHeight="1">
      <c r="B97" s="33">
        <v>2</v>
      </c>
      <c r="C97" s="39">
        <f>J63-J54</f>
        <v>16000</v>
      </c>
      <c r="D97" s="40">
        <f t="shared" si="7"/>
        <v>14829.951114271085</v>
      </c>
      <c r="E97" s="48">
        <f>SUM(D95:D97)</f>
        <v>-11067.805697127778</v>
      </c>
    </row>
    <row r="98" spans="2:5" ht="15" customHeight="1">
      <c r="B98" s="33">
        <v>3</v>
      </c>
      <c r="C98" s="39">
        <f>K63-K54</f>
        <v>13520</v>
      </c>
      <c r="D98" s="40">
        <f t="shared" si="7"/>
        <v>12064.415800095376</v>
      </c>
      <c r="E98" s="48">
        <f>SUM(D95:D98)</f>
        <v>996.61010296759741</v>
      </c>
    </row>
    <row r="99" spans="2:5" ht="15" customHeight="1">
      <c r="B99" s="33">
        <v>4</v>
      </c>
      <c r="C99" s="39">
        <f>L63-L54</f>
        <v>13080</v>
      </c>
      <c r="D99" s="40">
        <f t="shared" si="7"/>
        <v>11236.918151077523</v>
      </c>
      <c r="E99" s="48">
        <f>SUM(D95:D99)</f>
        <v>12233.528254045121</v>
      </c>
    </row>
    <row r="100" spans="2:5" ht="15" customHeight="1">
      <c r="B100" s="33">
        <v>5</v>
      </c>
      <c r="C100" s="39">
        <f>M63-M54</f>
        <v>20140</v>
      </c>
      <c r="D100" s="40">
        <f t="shared" si="7"/>
        <v>16657.461114406222</v>
      </c>
      <c r="E100" s="48">
        <f>SUM(D95:D100)</f>
        <v>28890.989368451344</v>
      </c>
    </row>
    <row r="101" spans="2:5" ht="15" customHeight="1">
      <c r="B101" s="36">
        <v>6</v>
      </c>
      <c r="C101" s="49">
        <f>N63-N54</f>
        <v>21600</v>
      </c>
      <c r="D101" s="57">
        <f t="shared" si="7"/>
        <v>17199.386716742039</v>
      </c>
      <c r="E101" s="50">
        <f>SUM(D95:D101)</f>
        <v>46090.376085193384</v>
      </c>
    </row>
    <row r="104" spans="2:5" ht="15" customHeight="1">
      <c r="B104" s="41"/>
    </row>
    <row r="105" spans="2:5" ht="15" customHeight="1">
      <c r="B105" s="1" t="s">
        <v>92</v>
      </c>
    </row>
    <row r="106" spans="2:5" ht="15" customHeight="1">
      <c r="B106" s="1" t="s">
        <v>93</v>
      </c>
    </row>
    <row r="107" spans="2:5" ht="15" customHeight="1">
      <c r="B107" s="1" t="s">
        <v>94</v>
      </c>
    </row>
  </sheetData>
  <mergeCells count="20">
    <mergeCell ref="M73:O73"/>
    <mergeCell ref="M72:O72"/>
    <mergeCell ref="M71:O71"/>
    <mergeCell ref="M70:O70"/>
    <mergeCell ref="I72:J72"/>
    <mergeCell ref="K72:L72"/>
    <mergeCell ref="I71:J71"/>
    <mergeCell ref="K71:L71"/>
    <mergeCell ref="I70:J70"/>
    <mergeCell ref="K70:L70"/>
    <mergeCell ref="K73:L73"/>
    <mergeCell ref="I73:J73"/>
    <mergeCell ref="G73:H73"/>
    <mergeCell ref="G72:H72"/>
    <mergeCell ref="G71:H71"/>
    <mergeCell ref="G70:H70"/>
    <mergeCell ref="B73:F73"/>
    <mergeCell ref="B72:F72"/>
    <mergeCell ref="B71:F71"/>
    <mergeCell ref="B70:F70"/>
  </mergeCells>
  <hyperlinks>
    <hyperlink ref="G87" r:id="rId1" xr:uid="{2EEF37A0-B337-4B13-BBF9-E4FA063AE710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88568-916A-43D9-BCC1-CDE01D020ED8}">
  <dimension ref="A1:D12"/>
  <sheetViews>
    <sheetView workbookViewId="0">
      <selection activeCell="A12" sqref="A12:B12"/>
    </sheetView>
  </sheetViews>
  <sheetFormatPr defaultRowHeight="14.25"/>
  <cols>
    <col min="2" max="3" width="10.86328125" bestFit="1" customWidth="1"/>
    <col min="4" max="4" width="11.46484375" bestFit="1" customWidth="1"/>
  </cols>
  <sheetData>
    <row r="1" spans="1:4">
      <c r="A1" t="s">
        <v>85</v>
      </c>
      <c r="B1" t="s">
        <v>95</v>
      </c>
      <c r="C1" t="s">
        <v>97</v>
      </c>
      <c r="D1" t="s">
        <v>96</v>
      </c>
    </row>
    <row r="2" spans="1:4">
      <c r="A2">
        <v>1</v>
      </c>
      <c r="B2" s="61">
        <f>'Cost Benefit Analysis '!I54</f>
        <v>41900</v>
      </c>
      <c r="C2" s="62">
        <f>'Cost Benefit Analysis '!I63</f>
        <v>15000</v>
      </c>
      <c r="D2" s="61">
        <f>C2-B2</f>
        <v>-26900</v>
      </c>
    </row>
    <row r="3" spans="1:4">
      <c r="A3">
        <v>2</v>
      </c>
      <c r="B3" s="61">
        <f>'Cost Benefit Analysis '!J54</f>
        <v>7040</v>
      </c>
      <c r="C3" s="61">
        <f>'Cost Benefit Analysis '!J63</f>
        <v>23040</v>
      </c>
      <c r="D3" s="61">
        <f t="shared" ref="D3:D7" si="0">C3-B3</f>
        <v>16000</v>
      </c>
    </row>
    <row r="4" spans="1:4">
      <c r="A4">
        <v>3</v>
      </c>
      <c r="B4" s="61">
        <f>'Cost Benefit Analysis '!K54</f>
        <v>8480</v>
      </c>
      <c r="C4" s="61">
        <f>'Cost Benefit Analysis '!K63</f>
        <v>22000</v>
      </c>
      <c r="D4" s="61">
        <f t="shared" si="0"/>
        <v>13520</v>
      </c>
    </row>
    <row r="5" spans="1:4">
      <c r="A5">
        <v>4</v>
      </c>
      <c r="B5" s="61">
        <f>'Cost Benefit Analysis '!L54</f>
        <v>9920</v>
      </c>
      <c r="C5" s="61">
        <f>'Cost Benefit Analysis '!L63</f>
        <v>23000</v>
      </c>
      <c r="D5" s="61">
        <f t="shared" si="0"/>
        <v>13080</v>
      </c>
    </row>
    <row r="6" spans="1:4">
      <c r="A6">
        <v>5</v>
      </c>
      <c r="B6" s="61">
        <f>'Cost Benefit Analysis '!M54</f>
        <v>8860</v>
      </c>
      <c r="C6" s="61">
        <f>'Cost Benefit Analysis '!M63</f>
        <v>29000</v>
      </c>
      <c r="D6" s="61">
        <f t="shared" si="0"/>
        <v>20140</v>
      </c>
    </row>
    <row r="7" spans="1:4">
      <c r="A7">
        <v>6</v>
      </c>
      <c r="B7" s="61">
        <f>'Cost Benefit Analysis '!N54</f>
        <v>8400</v>
      </c>
      <c r="C7" s="61">
        <f>'Cost Benefit Analysis '!N63</f>
        <v>30000</v>
      </c>
      <c r="D7" s="61">
        <f t="shared" si="0"/>
        <v>21600</v>
      </c>
    </row>
    <row r="10" spans="1:4">
      <c r="A10" t="s">
        <v>98</v>
      </c>
      <c r="B10" t="s">
        <v>7</v>
      </c>
    </row>
    <row r="11" spans="1:4">
      <c r="A11" t="s">
        <v>95</v>
      </c>
      <c r="B11" s="61">
        <f>SUM(B2:B7)</f>
        <v>84600</v>
      </c>
    </row>
    <row r="12" spans="1:4">
      <c r="A12" t="s">
        <v>99</v>
      </c>
      <c r="B12" s="61">
        <f>SUM(D2:D7)</f>
        <v>57440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Cost Benefit Analysis 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nicholas chavez</cp:lastModifiedBy>
  <dcterms:created xsi:type="dcterms:W3CDTF">2021-06-07T16:52:26Z</dcterms:created>
  <dcterms:modified xsi:type="dcterms:W3CDTF">2026-02-24T17:33:56Z</dcterms:modified>
</cp:coreProperties>
</file>